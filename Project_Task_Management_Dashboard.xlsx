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Lakshay\Downloads\"/>
    </mc:Choice>
  </mc:AlternateContent>
  <xr:revisionPtr revIDLastSave="0" documentId="8_{BA1453EC-288B-46A1-BE47-25774F386A44}" xr6:coauthVersionLast="47" xr6:coauthVersionMax="47" xr10:uidLastSave="{00000000-0000-0000-0000-000000000000}"/>
  <bookViews>
    <workbookView xWindow="-108" yWindow="-108" windowWidth="23256" windowHeight="12456" activeTab="4" xr2:uid="{1D8D0585-20B3-40C5-B912-078AE3D2A547}"/>
  </bookViews>
  <sheets>
    <sheet name="Sheet4" sheetId="5" r:id="rId1"/>
    <sheet name="Sheet6" sheetId="7" r:id="rId2"/>
    <sheet name="Sheet7" sheetId="8" r:id="rId3"/>
    <sheet name="Sheet8" sheetId="9" r:id="rId4"/>
    <sheet name="lakshay" sheetId="1" r:id="rId5"/>
  </sheets>
  <definedNames>
    <definedName name="Slicer_Assigned_to">#N/A</definedName>
    <definedName name="Slicer_Project_Name">#N/A</definedName>
    <definedName name="Slicer_task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M3" i="1"/>
  <c r="L3" i="1"/>
  <c r="K3" i="1"/>
  <c r="J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3" i="1"/>
</calcChain>
</file>

<file path=xl/sharedStrings.xml><?xml version="1.0" encoding="utf-8"?>
<sst xmlns="http://schemas.openxmlformats.org/spreadsheetml/2006/main" count="299" uniqueCount="157">
  <si>
    <t>Project Management Data</t>
  </si>
  <si>
    <t>Project Name</t>
  </si>
  <si>
    <t>Task Name</t>
  </si>
  <si>
    <t>Assigned to</t>
  </si>
  <si>
    <t>Start Date</t>
  </si>
  <si>
    <t>Days Required</t>
  </si>
  <si>
    <t>End Date</t>
  </si>
  <si>
    <t>Progress</t>
  </si>
  <si>
    <t>Marketing</t>
  </si>
  <si>
    <t>Market Research</t>
  </si>
  <si>
    <t>Alice</t>
  </si>
  <si>
    <t>1/14/2024</t>
  </si>
  <si>
    <t>Content Creation</t>
  </si>
  <si>
    <t>Bob</t>
  </si>
  <si>
    <t>1/28/2024</t>
  </si>
  <si>
    <t>Social Media Planning</t>
  </si>
  <si>
    <t>Charlie</t>
  </si>
  <si>
    <t>2/19/2024</t>
  </si>
  <si>
    <t>Campaign Analysis</t>
  </si>
  <si>
    <t>Daisy</t>
  </si>
  <si>
    <t>2/18/2024</t>
  </si>
  <si>
    <t>3/14/2024</t>
  </si>
  <si>
    <t>Product Dev</t>
  </si>
  <si>
    <t>Prototype Development</t>
  </si>
  <si>
    <t>Ethan</t>
  </si>
  <si>
    <t>1/20/2024</t>
  </si>
  <si>
    <t>Quality Assurance</t>
  </si>
  <si>
    <t>Fiona</t>
  </si>
  <si>
    <t>1/30/2024</t>
  </si>
  <si>
    <t>User Interface Design</t>
  </si>
  <si>
    <t>Gabriel</t>
  </si>
  <si>
    <t>2/29/2024</t>
  </si>
  <si>
    <t>Customer Svc</t>
  </si>
  <si>
    <t>Service Improvement</t>
  </si>
  <si>
    <t>Hannah</t>
  </si>
  <si>
    <t>2/23/2024</t>
  </si>
  <si>
    <t>Ticket Resolution</t>
  </si>
  <si>
    <t>Ian</t>
  </si>
  <si>
    <t>2/24/2024</t>
  </si>
  <si>
    <t>3/20/2024</t>
  </si>
  <si>
    <t>Customer Feedback</t>
  </si>
  <si>
    <t>Julia</t>
  </si>
  <si>
    <t>3/21/2024</t>
  </si>
  <si>
    <t>4/20/2024</t>
  </si>
  <si>
    <t>Financial</t>
  </si>
  <si>
    <t>Budget Analysis</t>
  </si>
  <si>
    <t>Kevin</t>
  </si>
  <si>
    <t>Financial Reporting</t>
  </si>
  <si>
    <t>Mark</t>
  </si>
  <si>
    <t>2/13/2024</t>
  </si>
  <si>
    <t>Investment Planning</t>
  </si>
  <si>
    <t>3/19/2024</t>
  </si>
  <si>
    <t>4/13/2024</t>
  </si>
  <si>
    <t>Research</t>
  </si>
  <si>
    <t>Market Trends Analysis</t>
  </si>
  <si>
    <t>Nathan</t>
  </si>
  <si>
    <t>1/25/2024</t>
  </si>
  <si>
    <t>Data Collection</t>
  </si>
  <si>
    <t>Olivia</t>
  </si>
  <si>
    <t>1/26/2024</t>
  </si>
  <si>
    <t>2/27/2024</t>
  </si>
  <si>
    <t>Research Paper Writing</t>
  </si>
  <si>
    <t>Peter</t>
  </si>
  <si>
    <t>2/28/2024</t>
  </si>
  <si>
    <t>3/26/2024</t>
  </si>
  <si>
    <t>Development</t>
  </si>
  <si>
    <t>Software Development</t>
  </si>
  <si>
    <t>Quinn</t>
  </si>
  <si>
    <t>Feature Enhancement</t>
  </si>
  <si>
    <t>Rachel</t>
  </si>
  <si>
    <t>3/13/2024</t>
  </si>
  <si>
    <t>Code Review</t>
  </si>
  <si>
    <t>Sam</t>
  </si>
  <si>
    <t>Production</t>
  </si>
  <si>
    <t>Manufacturing</t>
  </si>
  <si>
    <t>Tim</t>
  </si>
  <si>
    <t>Quality Control</t>
  </si>
  <si>
    <t>Ursula</t>
  </si>
  <si>
    <t>2/17/2024</t>
  </si>
  <si>
    <t>3/15/2024</t>
  </si>
  <si>
    <t>Packaging Design</t>
  </si>
  <si>
    <t>Victor</t>
  </si>
  <si>
    <t>Sales</t>
  </si>
  <si>
    <t>Lead Generation</t>
  </si>
  <si>
    <t>Wendy</t>
  </si>
  <si>
    <t>Client Meetings</t>
  </si>
  <si>
    <t>Xavier</t>
  </si>
  <si>
    <t>Contract Negotiation</t>
  </si>
  <si>
    <t>Yvette</t>
  </si>
  <si>
    <t>Support</t>
  </si>
  <si>
    <t>Technical Support</t>
  </si>
  <si>
    <t>Zoe</t>
  </si>
  <si>
    <t>Bug Fixes</t>
  </si>
  <si>
    <t>Aaron</t>
  </si>
  <si>
    <t>1/27/2024</t>
  </si>
  <si>
    <t>Software Updates</t>
  </si>
  <si>
    <t>Bella</t>
  </si>
  <si>
    <t>3/24/2024</t>
  </si>
  <si>
    <t>Operations</t>
  </si>
  <si>
    <t>Process Optimization</t>
  </si>
  <si>
    <t>Calvin</t>
  </si>
  <si>
    <t>Inventory Management</t>
  </si>
  <si>
    <t>Diane</t>
  </si>
  <si>
    <t>Facility Maintenance</t>
  </si>
  <si>
    <t>Edward</t>
  </si>
  <si>
    <t>Consulting</t>
  </si>
  <si>
    <t>Strategic Planning</t>
  </si>
  <si>
    <t>Market Expansion</t>
  </si>
  <si>
    <t>Gary</t>
  </si>
  <si>
    <t>Client Advisory</t>
  </si>
  <si>
    <t>Helen</t>
  </si>
  <si>
    <t>3/31/2024</t>
  </si>
  <si>
    <t>Training</t>
  </si>
  <si>
    <t>Employee Training</t>
  </si>
  <si>
    <t>Isaac</t>
  </si>
  <si>
    <t>1/31/2024</t>
  </si>
  <si>
    <t>Certification Programs</t>
  </si>
  <si>
    <t>Jane</t>
  </si>
  <si>
    <t>Skill Development</t>
  </si>
  <si>
    <t>Kyle</t>
  </si>
  <si>
    <t>Events</t>
  </si>
  <si>
    <t>Event Planning</t>
  </si>
  <si>
    <t>Laura</t>
  </si>
  <si>
    <t>Conference Management</t>
  </si>
  <si>
    <t>Mike</t>
  </si>
  <si>
    <t>Sponsorship Coordinatio</t>
  </si>
  <si>
    <t>n Nancy</t>
  </si>
  <si>
    <t>3/30/2024</t>
  </si>
  <si>
    <t>Logistics</t>
  </si>
  <si>
    <t>Supply Chain Management</t>
  </si>
  <si>
    <t>Oscar</t>
  </si>
  <si>
    <t>Transportation Planning</t>
  </si>
  <si>
    <t>Patricia</t>
  </si>
  <si>
    <t>1/29/2024</t>
  </si>
  <si>
    <t>Inventory Optimization</t>
  </si>
  <si>
    <t>Quentin</t>
  </si>
  <si>
    <t>3/29/2024</t>
  </si>
  <si>
    <t>4/18/2024</t>
  </si>
  <si>
    <t>Engineering</t>
  </si>
  <si>
    <t>Product Design</t>
  </si>
  <si>
    <t>System Integration</t>
  </si>
  <si>
    <t>Prototype Testing</t>
  </si>
  <si>
    <t>Tom</t>
  </si>
  <si>
    <t>task status</t>
  </si>
  <si>
    <t>Row Labels</t>
  </si>
  <si>
    <t>Grand Total</t>
  </si>
  <si>
    <t>Count of Task Name</t>
  </si>
  <si>
    <t>Completed</t>
  </si>
  <si>
    <t>In Progress</t>
  </si>
  <si>
    <t>Not Started</t>
  </si>
  <si>
    <t>Average of Progress</t>
  </si>
  <si>
    <t>Total Project</t>
  </si>
  <si>
    <t>Total Task</t>
  </si>
  <si>
    <t>Completed Task</t>
  </si>
  <si>
    <t>Pending Task</t>
  </si>
  <si>
    <t>Average Progress</t>
  </si>
  <si>
    <t>Project And Task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</si>
</sst>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4"/>
      <color theme="1"/>
      <name val="Aptos Narrow"/>
      <family val="2"/>
      <scheme val="minor"/>
    </font>
    <font>
      <b/>
      <sz val="16"/>
      <color theme="1"/>
      <name val="Aptos Narrow"/>
      <family val="2"/>
      <scheme val="minor"/>
    </font>
    <font>
      <sz val="18"/>
      <color theme="1"/>
      <name val="Aptos Narrow"/>
      <family val="2"/>
      <scheme val="minor"/>
    </font>
    <font>
      <b/>
      <sz val="1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bgColor indexed="64"/>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34" borderId="10" xfId="0" applyFont="1" applyFill="1"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0" fontId="0" fillId="33" borderId="10" xfId="0" applyFill="1" applyBorder="1" applyAlignment="1">
      <alignment horizontal="center" vertical="center"/>
    </xf>
    <xf numFmtId="0" fontId="0" fillId="0" borderId="0" xfId="0" applyAlignment="1">
      <alignment vertical="center"/>
    </xf>
    <xf numFmtId="0" fontId="19" fillId="33" borderId="10" xfId="0" applyFont="1" applyFill="1" applyBorder="1" applyAlignment="1">
      <alignment horizontal="center" vertical="center"/>
    </xf>
    <xf numFmtId="0" fontId="21" fillId="0" borderId="0" xfId="0" applyFont="1" applyAlignment="1">
      <alignment vertical="center"/>
    </xf>
    <xf numFmtId="0" fontId="22" fillId="35" borderId="0" xfId="0" applyFont="1" applyFill="1" applyAlignment="1">
      <alignment vertical="center"/>
    </xf>
    <xf numFmtId="0" fontId="21" fillId="35" borderId="0" xfId="0" applyFont="1" applyFill="1" applyAlignment="1">
      <alignment vertical="center"/>
    </xf>
    <xf numFmtId="0" fontId="22" fillId="34" borderId="10" xfId="0" applyFont="1" applyFill="1" applyBorder="1" applyAlignment="1">
      <alignment horizontal="center"/>
    </xf>
    <xf numFmtId="0" fontId="22" fillId="34" borderId="10" xfId="0" applyFont="1" applyFill="1" applyBorder="1"/>
    <xf numFmtId="0" fontId="20" fillId="0" borderId="10" xfId="0" applyFont="1" applyBorder="1" applyAlignment="1">
      <alignment horizontal="center"/>
    </xf>
    <xf numFmtId="9" fontId="20" fillId="0" borderId="10" xfId="0" applyNumberFormat="1" applyFont="1" applyBorder="1" applyAlignment="1">
      <alignment horizontal="center"/>
    </xf>
    <xf numFmtId="0" fontId="18" fillId="33" borderId="10" xfId="0" applyFont="1" applyFill="1" applyBorder="1" applyAlignment="1">
      <alignment vertical="center"/>
    </xf>
    <xf numFmtId="0" fontId="0" fillId="0" borderId="10" xfId="0" applyBorder="1" applyAlignment="1">
      <alignment horizontal="center"/>
    </xf>
    <xf numFmtId="14" fontId="0" fillId="0" borderId="10" xfId="0" applyNumberFormat="1" applyBorder="1" applyAlignment="1">
      <alignment horizontal="center"/>
    </xf>
    <xf numFmtId="9" fontId="0" fillId="0" borderId="10"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5A-44F7-A20E-CB86EE7105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5A-44F7-A20E-CB86EE7105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5A-44F7-A20E-CB86EE710585}"/>
              </c:ext>
            </c:extLst>
          </c:dPt>
          <c:cat>
            <c:strRef>
              <c:f>Sheet4!$A$4:$A$7</c:f>
              <c:strCache>
                <c:ptCount val="3"/>
                <c:pt idx="0">
                  <c:v>Completed</c:v>
                </c:pt>
                <c:pt idx="1">
                  <c:v>In Progress</c:v>
                </c:pt>
                <c:pt idx="2">
                  <c:v>Not Started</c:v>
                </c:pt>
              </c:strCache>
            </c:strRef>
          </c:cat>
          <c:val>
            <c:numRef>
              <c:f>Sheet4!$B$4:$B$7</c:f>
              <c:numCache>
                <c:formatCode>General</c:formatCode>
                <c:ptCount val="3"/>
                <c:pt idx="0">
                  <c:v>9</c:v>
                </c:pt>
                <c:pt idx="1">
                  <c:v>16</c:v>
                </c:pt>
                <c:pt idx="2">
                  <c:v>21</c:v>
                </c:pt>
              </c:numCache>
            </c:numRef>
          </c:val>
          <c:extLst>
            <c:ext xmlns:c16="http://schemas.microsoft.com/office/drawing/2014/chart" uri="{C3380CC4-5D6E-409C-BE32-E72D297353CC}">
              <c16:uniqueId val="{00000000-ADD0-4B94-9F91-35777208DD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 by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Sheet6!$A$4:$A$19</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Sheet6!$B$4:$B$19</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0-6A51-4E5D-8904-6C2A4D54EB9D}"/>
            </c:ext>
          </c:extLst>
        </c:ser>
        <c:dLbls>
          <c:showLegendKey val="0"/>
          <c:showVal val="0"/>
          <c:showCatName val="0"/>
          <c:showSerName val="0"/>
          <c:showPercent val="0"/>
          <c:showBubbleSize val="0"/>
        </c:dLbls>
        <c:gapWidth val="219"/>
        <c:overlap val="-27"/>
        <c:axId val="1476226368"/>
        <c:axId val="739406384"/>
      </c:barChart>
      <c:catAx>
        <c:axId val="147622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6384"/>
        <c:crosses val="autoZero"/>
        <c:auto val="1"/>
        <c:lblAlgn val="ctr"/>
        <c:lblOffset val="100"/>
        <c:noMultiLvlLbl val="0"/>
      </c:catAx>
      <c:valAx>
        <c:axId val="73940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2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[Project_Task_Management_Dashboard.xlsx]Sheet7!PivotTable7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 Wise Average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Sheet7!$A$4:$A$19</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Sheet7!$B$4:$B$19</c:f>
              <c:numCache>
                <c:formatCode>0%</c:formatCode>
                <c:ptCount val="15"/>
                <c:pt idx="0">
                  <c:v>0.19999999999999998</c:v>
                </c:pt>
                <c:pt idx="1">
                  <c:v>0.66666666666666663</c:v>
                </c:pt>
                <c:pt idx="2">
                  <c:v>0.33333333333333331</c:v>
                </c:pt>
                <c:pt idx="3">
                  <c:v>6.6666666666666666E-2</c:v>
                </c:pt>
                <c:pt idx="4">
                  <c:v>9.9999999999999992E-2</c:v>
                </c:pt>
                <c:pt idx="5">
                  <c:v>0.62666666666666659</c:v>
                </c:pt>
                <c:pt idx="6">
                  <c:v>0.5</c:v>
                </c:pt>
                <c:pt idx="7">
                  <c:v>0.5575</c:v>
                </c:pt>
                <c:pt idx="8">
                  <c:v>0.13333333333333333</c:v>
                </c:pt>
                <c:pt idx="9">
                  <c:v>0.59333333333333338</c:v>
                </c:pt>
                <c:pt idx="10">
                  <c:v>9.9999999999999992E-2</c:v>
                </c:pt>
                <c:pt idx="11">
                  <c:v>0.16666666666666666</c:v>
                </c:pt>
                <c:pt idx="12">
                  <c:v>0.49333333333333335</c:v>
                </c:pt>
                <c:pt idx="13">
                  <c:v>0.66666666666666663</c:v>
                </c:pt>
                <c:pt idx="14">
                  <c:v>0.26666666666666666</c:v>
                </c:pt>
              </c:numCache>
            </c:numRef>
          </c:val>
          <c:extLst>
            <c:ext xmlns:c16="http://schemas.microsoft.com/office/drawing/2014/chart" uri="{C3380CC4-5D6E-409C-BE32-E72D297353CC}">
              <c16:uniqueId val="{00000000-700B-4D5D-A4CB-878FAC3ECD8E}"/>
            </c:ext>
          </c:extLst>
        </c:ser>
        <c:dLbls>
          <c:showLegendKey val="0"/>
          <c:showVal val="0"/>
          <c:showCatName val="0"/>
          <c:showSerName val="0"/>
          <c:showPercent val="0"/>
          <c:showBubbleSize val="0"/>
        </c:dLbls>
        <c:gapWidth val="219"/>
        <c:overlap val="-27"/>
        <c:axId val="1415546800"/>
        <c:axId val="1058046064"/>
      </c:barChart>
      <c:catAx>
        <c:axId val="14155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46064"/>
        <c:crosses val="autoZero"/>
        <c:auto val="1"/>
        <c:lblAlgn val="ctr"/>
        <c:lblOffset val="100"/>
        <c:noMultiLvlLbl val="0"/>
      </c:catAx>
      <c:valAx>
        <c:axId val="1058046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[Project_Task_Management_Dashboard.xlsx]Sheet8!PivotTable8</c:name>
    <c:fmtId val="1"/>
  </c:pivotSource>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Sheet8!$A$4:$A$46</c:f>
              <c:strCache>
                <c:ptCount val="42"/>
                <c:pt idx="0">
                  <c:v>Aaron</c:v>
                </c:pt>
                <c:pt idx="1">
                  <c:v>Alice</c:v>
                </c:pt>
                <c:pt idx="2">
                  <c:v>Bella</c:v>
                </c:pt>
                <c:pt idx="3">
                  <c:v>Bob</c:v>
                </c:pt>
                <c:pt idx="4">
                  <c:v>Calvin</c:v>
                </c:pt>
                <c:pt idx="5">
                  <c:v>Charlie</c:v>
                </c:pt>
                <c:pt idx="6">
                  <c:v>Daisy</c:v>
                </c:pt>
                <c:pt idx="7">
                  <c:v>Diane</c:v>
                </c:pt>
                <c:pt idx="8">
                  <c:v>Edward</c:v>
                </c:pt>
                <c:pt idx="9">
                  <c:v>Ethan</c:v>
                </c:pt>
                <c:pt idx="10">
                  <c:v>Fiona</c:v>
                </c:pt>
                <c:pt idx="11">
                  <c:v>Gabriel</c:v>
                </c:pt>
                <c:pt idx="12">
                  <c:v>Gary</c:v>
                </c:pt>
                <c:pt idx="13">
                  <c:v>Hannah</c:v>
                </c:pt>
                <c:pt idx="14">
                  <c:v>Helen</c:v>
                </c:pt>
                <c:pt idx="15">
                  <c:v>Ian</c:v>
                </c:pt>
                <c:pt idx="16">
                  <c:v>Isaac</c:v>
                </c:pt>
                <c:pt idx="17">
                  <c:v>Jane</c:v>
                </c:pt>
                <c:pt idx="18">
                  <c:v>Julia</c:v>
                </c:pt>
                <c:pt idx="19">
                  <c:v>Kevin</c:v>
                </c:pt>
                <c:pt idx="20">
                  <c:v>Kyle</c:v>
                </c:pt>
                <c:pt idx="21">
                  <c:v>Laura</c:v>
                </c:pt>
                <c:pt idx="22">
                  <c:v>Mark</c:v>
                </c:pt>
                <c:pt idx="23">
                  <c:v>Mike</c:v>
                </c:pt>
                <c:pt idx="24">
                  <c:v>n Nancy</c:v>
                </c:pt>
                <c:pt idx="25">
                  <c:v>Nathan</c:v>
                </c:pt>
                <c:pt idx="26">
                  <c:v>Olivia</c:v>
                </c:pt>
                <c:pt idx="27">
                  <c:v>Oscar</c:v>
                </c:pt>
                <c:pt idx="28">
                  <c:v>Patricia</c:v>
                </c:pt>
                <c:pt idx="29">
                  <c:v>Peter</c:v>
                </c:pt>
                <c:pt idx="30">
                  <c:v>Quentin</c:v>
                </c:pt>
                <c:pt idx="31">
                  <c:v>Quinn</c:v>
                </c:pt>
                <c:pt idx="32">
                  <c:v>Rachel</c:v>
                </c:pt>
                <c:pt idx="33">
                  <c:v>Sam</c:v>
                </c:pt>
                <c:pt idx="34">
                  <c:v>Tim</c:v>
                </c:pt>
                <c:pt idx="35">
                  <c:v>Tom</c:v>
                </c:pt>
                <c:pt idx="36">
                  <c:v>Ursula</c:v>
                </c:pt>
                <c:pt idx="37">
                  <c:v>Victor</c:v>
                </c:pt>
                <c:pt idx="38">
                  <c:v>Wendy</c:v>
                </c:pt>
                <c:pt idx="39">
                  <c:v>Xavier</c:v>
                </c:pt>
                <c:pt idx="40">
                  <c:v>Yvette</c:v>
                </c:pt>
                <c:pt idx="41">
                  <c:v>Zoe</c:v>
                </c:pt>
              </c:strCache>
            </c:strRef>
          </c:cat>
          <c:val>
            <c:numRef>
              <c:f>Sheet8!$B$4:$B$46</c:f>
              <c:numCache>
                <c:formatCode>General</c:formatCode>
                <c:ptCount val="42"/>
                <c:pt idx="0">
                  <c:v>1</c:v>
                </c:pt>
                <c:pt idx="1">
                  <c:v>1</c:v>
                </c:pt>
                <c:pt idx="2">
                  <c:v>1</c:v>
                </c:pt>
                <c:pt idx="3">
                  <c:v>1</c:v>
                </c:pt>
                <c:pt idx="4">
                  <c:v>1</c:v>
                </c:pt>
                <c:pt idx="5">
                  <c:v>1</c:v>
                </c:pt>
                <c:pt idx="6">
                  <c:v>1</c:v>
                </c:pt>
                <c:pt idx="7">
                  <c:v>1</c:v>
                </c:pt>
                <c:pt idx="8">
                  <c:v>1</c:v>
                </c:pt>
                <c:pt idx="9">
                  <c:v>1</c:v>
                </c:pt>
                <c:pt idx="10">
                  <c:v>2</c:v>
                </c:pt>
                <c:pt idx="11">
                  <c:v>1</c:v>
                </c:pt>
                <c:pt idx="12">
                  <c:v>1</c:v>
                </c:pt>
                <c:pt idx="13">
                  <c:v>1</c:v>
                </c:pt>
                <c:pt idx="14">
                  <c:v>1</c:v>
                </c:pt>
                <c:pt idx="15">
                  <c:v>1</c:v>
                </c:pt>
                <c:pt idx="16">
                  <c:v>1</c:v>
                </c:pt>
                <c:pt idx="17">
                  <c:v>1</c:v>
                </c:pt>
                <c:pt idx="18">
                  <c:v>1</c:v>
                </c:pt>
                <c:pt idx="19">
                  <c:v>1</c:v>
                </c:pt>
                <c:pt idx="20">
                  <c:v>1</c:v>
                </c:pt>
                <c:pt idx="21">
                  <c:v>1</c:v>
                </c:pt>
                <c:pt idx="22">
                  <c:v>2</c:v>
                </c:pt>
                <c:pt idx="23">
                  <c:v>1</c:v>
                </c:pt>
                <c:pt idx="24">
                  <c:v>1</c:v>
                </c:pt>
                <c:pt idx="25">
                  <c:v>1</c:v>
                </c:pt>
                <c:pt idx="26">
                  <c:v>1</c:v>
                </c:pt>
                <c:pt idx="27">
                  <c:v>1</c:v>
                </c:pt>
                <c:pt idx="28">
                  <c:v>1</c:v>
                </c:pt>
                <c:pt idx="29">
                  <c:v>1</c:v>
                </c:pt>
                <c:pt idx="30">
                  <c:v>1</c:v>
                </c:pt>
                <c:pt idx="31">
                  <c:v>1</c:v>
                </c:pt>
                <c:pt idx="32">
                  <c:v>2</c:v>
                </c:pt>
                <c:pt idx="33">
                  <c:v>2</c:v>
                </c:pt>
                <c:pt idx="34">
                  <c:v>1</c:v>
                </c:pt>
                <c:pt idx="35">
                  <c:v>1</c:v>
                </c:pt>
                <c:pt idx="36">
                  <c:v>1</c:v>
                </c:pt>
                <c:pt idx="37">
                  <c:v>1</c:v>
                </c:pt>
                <c:pt idx="38">
                  <c:v>1</c:v>
                </c:pt>
                <c:pt idx="39">
                  <c:v>1</c:v>
                </c:pt>
                <c:pt idx="40">
                  <c:v>1</c:v>
                </c:pt>
                <c:pt idx="41">
                  <c:v>1</c:v>
                </c:pt>
              </c:numCache>
            </c:numRef>
          </c:val>
          <c:extLst>
            <c:ext xmlns:c16="http://schemas.microsoft.com/office/drawing/2014/chart" uri="{C3380CC4-5D6E-409C-BE32-E72D297353CC}">
              <c16:uniqueId val="{00000000-C3D7-4AC0-B644-33A9590941C0}"/>
            </c:ext>
          </c:extLst>
        </c:ser>
        <c:dLbls>
          <c:showLegendKey val="0"/>
          <c:showVal val="0"/>
          <c:showCatName val="0"/>
          <c:showSerName val="0"/>
          <c:showPercent val="0"/>
          <c:showBubbleSize val="0"/>
        </c:dLbls>
        <c:gapWidth val="219"/>
        <c:overlap val="-27"/>
        <c:axId val="1512882416"/>
        <c:axId val="584439152"/>
      </c:barChart>
      <c:catAx>
        <c:axId val="15128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4439152"/>
        <c:crosses val="autoZero"/>
        <c:auto val="1"/>
        <c:lblAlgn val="ctr"/>
        <c:lblOffset val="100"/>
        <c:noMultiLvlLbl val="0"/>
      </c:catAx>
      <c:valAx>
        <c:axId val="58443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1288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04-40AA-B4E6-C904FB906A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04-40AA-B4E6-C904FB906A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04-40AA-B4E6-C904FB906AE8}"/>
              </c:ext>
            </c:extLst>
          </c:dPt>
          <c:cat>
            <c:strRef>
              <c:f>Sheet4!$A$4:$A$7</c:f>
              <c:strCache>
                <c:ptCount val="3"/>
                <c:pt idx="0">
                  <c:v>Completed</c:v>
                </c:pt>
                <c:pt idx="1">
                  <c:v>In Progress</c:v>
                </c:pt>
                <c:pt idx="2">
                  <c:v>Not Started</c:v>
                </c:pt>
              </c:strCache>
            </c:strRef>
          </c:cat>
          <c:val>
            <c:numRef>
              <c:f>Sheet4!$B$4:$B$7</c:f>
              <c:numCache>
                <c:formatCode>General</c:formatCode>
                <c:ptCount val="3"/>
                <c:pt idx="0">
                  <c:v>9</c:v>
                </c:pt>
                <c:pt idx="1">
                  <c:v>16</c:v>
                </c:pt>
                <c:pt idx="2">
                  <c:v>21</c:v>
                </c:pt>
              </c:numCache>
            </c:numRef>
          </c:val>
          <c:extLst>
            <c:ext xmlns:c16="http://schemas.microsoft.com/office/drawing/2014/chart" uri="{C3380CC4-5D6E-409C-BE32-E72D297353CC}">
              <c16:uniqueId val="{00000006-F004-40AA-B4E6-C904FB906A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 by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Sheet6!$A$4:$A$19</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Sheet6!$B$4:$B$19</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0-1EDF-485B-84FA-EC4FE23312C2}"/>
            </c:ext>
          </c:extLst>
        </c:ser>
        <c:dLbls>
          <c:showLegendKey val="0"/>
          <c:showVal val="0"/>
          <c:showCatName val="0"/>
          <c:showSerName val="0"/>
          <c:showPercent val="0"/>
          <c:showBubbleSize val="0"/>
        </c:dLbls>
        <c:gapWidth val="219"/>
        <c:overlap val="-27"/>
        <c:axId val="1476226368"/>
        <c:axId val="739406384"/>
      </c:barChart>
      <c:catAx>
        <c:axId val="147622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6384"/>
        <c:crosses val="autoZero"/>
        <c:auto val="1"/>
        <c:lblAlgn val="ctr"/>
        <c:lblOffset val="100"/>
        <c:noMultiLvlLbl val="0"/>
      </c:catAx>
      <c:valAx>
        <c:axId val="73940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2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[Project_Task_Management_Dashboard.xlsx]Sheet7!PivotTable7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 Wise Average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Sheet7!$A$4:$A$19</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Sheet7!$B$4:$B$19</c:f>
              <c:numCache>
                <c:formatCode>0%</c:formatCode>
                <c:ptCount val="15"/>
                <c:pt idx="0">
                  <c:v>0.19999999999999998</c:v>
                </c:pt>
                <c:pt idx="1">
                  <c:v>0.66666666666666663</c:v>
                </c:pt>
                <c:pt idx="2">
                  <c:v>0.33333333333333331</c:v>
                </c:pt>
                <c:pt idx="3">
                  <c:v>6.6666666666666666E-2</c:v>
                </c:pt>
                <c:pt idx="4">
                  <c:v>9.9999999999999992E-2</c:v>
                </c:pt>
                <c:pt idx="5">
                  <c:v>0.62666666666666659</c:v>
                </c:pt>
                <c:pt idx="6">
                  <c:v>0.5</c:v>
                </c:pt>
                <c:pt idx="7">
                  <c:v>0.5575</c:v>
                </c:pt>
                <c:pt idx="8">
                  <c:v>0.13333333333333333</c:v>
                </c:pt>
                <c:pt idx="9">
                  <c:v>0.59333333333333338</c:v>
                </c:pt>
                <c:pt idx="10">
                  <c:v>9.9999999999999992E-2</c:v>
                </c:pt>
                <c:pt idx="11">
                  <c:v>0.16666666666666666</c:v>
                </c:pt>
                <c:pt idx="12">
                  <c:v>0.49333333333333335</c:v>
                </c:pt>
                <c:pt idx="13">
                  <c:v>0.66666666666666663</c:v>
                </c:pt>
                <c:pt idx="14">
                  <c:v>0.26666666666666666</c:v>
                </c:pt>
              </c:numCache>
            </c:numRef>
          </c:val>
          <c:extLst>
            <c:ext xmlns:c16="http://schemas.microsoft.com/office/drawing/2014/chart" uri="{C3380CC4-5D6E-409C-BE32-E72D297353CC}">
              <c16:uniqueId val="{00000000-DA61-4064-9DA6-419B80B61DD9}"/>
            </c:ext>
          </c:extLst>
        </c:ser>
        <c:dLbls>
          <c:showLegendKey val="0"/>
          <c:showVal val="0"/>
          <c:showCatName val="0"/>
          <c:showSerName val="0"/>
          <c:showPercent val="0"/>
          <c:showBubbleSize val="0"/>
        </c:dLbls>
        <c:gapWidth val="219"/>
        <c:overlap val="-27"/>
        <c:axId val="1415546800"/>
        <c:axId val="1058046064"/>
      </c:barChart>
      <c:catAx>
        <c:axId val="14155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46064"/>
        <c:crosses val="autoZero"/>
        <c:auto val="1"/>
        <c:lblAlgn val="ctr"/>
        <c:lblOffset val="100"/>
        <c:noMultiLvlLbl val="0"/>
      </c:catAx>
      <c:valAx>
        <c:axId val="1058046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[Project_Task_Management_Dashboard.xlsx]Sheet8!PivotTable8</c:name>
    <c:fmtId val="3"/>
  </c:pivotSource>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Sheet8!$A$4:$A$46</c:f>
              <c:strCache>
                <c:ptCount val="42"/>
                <c:pt idx="0">
                  <c:v>Aaron</c:v>
                </c:pt>
                <c:pt idx="1">
                  <c:v>Alice</c:v>
                </c:pt>
                <c:pt idx="2">
                  <c:v>Bella</c:v>
                </c:pt>
                <c:pt idx="3">
                  <c:v>Bob</c:v>
                </c:pt>
                <c:pt idx="4">
                  <c:v>Calvin</c:v>
                </c:pt>
                <c:pt idx="5">
                  <c:v>Charlie</c:v>
                </c:pt>
                <c:pt idx="6">
                  <c:v>Daisy</c:v>
                </c:pt>
                <c:pt idx="7">
                  <c:v>Diane</c:v>
                </c:pt>
                <c:pt idx="8">
                  <c:v>Edward</c:v>
                </c:pt>
                <c:pt idx="9">
                  <c:v>Ethan</c:v>
                </c:pt>
                <c:pt idx="10">
                  <c:v>Fiona</c:v>
                </c:pt>
                <c:pt idx="11">
                  <c:v>Gabriel</c:v>
                </c:pt>
                <c:pt idx="12">
                  <c:v>Gary</c:v>
                </c:pt>
                <c:pt idx="13">
                  <c:v>Hannah</c:v>
                </c:pt>
                <c:pt idx="14">
                  <c:v>Helen</c:v>
                </c:pt>
                <c:pt idx="15">
                  <c:v>Ian</c:v>
                </c:pt>
                <c:pt idx="16">
                  <c:v>Isaac</c:v>
                </c:pt>
                <c:pt idx="17">
                  <c:v>Jane</c:v>
                </c:pt>
                <c:pt idx="18">
                  <c:v>Julia</c:v>
                </c:pt>
                <c:pt idx="19">
                  <c:v>Kevin</c:v>
                </c:pt>
                <c:pt idx="20">
                  <c:v>Kyle</c:v>
                </c:pt>
                <c:pt idx="21">
                  <c:v>Laura</c:v>
                </c:pt>
                <c:pt idx="22">
                  <c:v>Mark</c:v>
                </c:pt>
                <c:pt idx="23">
                  <c:v>Mike</c:v>
                </c:pt>
                <c:pt idx="24">
                  <c:v>n Nancy</c:v>
                </c:pt>
                <c:pt idx="25">
                  <c:v>Nathan</c:v>
                </c:pt>
                <c:pt idx="26">
                  <c:v>Olivia</c:v>
                </c:pt>
                <c:pt idx="27">
                  <c:v>Oscar</c:v>
                </c:pt>
                <c:pt idx="28">
                  <c:v>Patricia</c:v>
                </c:pt>
                <c:pt idx="29">
                  <c:v>Peter</c:v>
                </c:pt>
                <c:pt idx="30">
                  <c:v>Quentin</c:v>
                </c:pt>
                <c:pt idx="31">
                  <c:v>Quinn</c:v>
                </c:pt>
                <c:pt idx="32">
                  <c:v>Rachel</c:v>
                </c:pt>
                <c:pt idx="33">
                  <c:v>Sam</c:v>
                </c:pt>
                <c:pt idx="34">
                  <c:v>Tim</c:v>
                </c:pt>
                <c:pt idx="35">
                  <c:v>Tom</c:v>
                </c:pt>
                <c:pt idx="36">
                  <c:v>Ursula</c:v>
                </c:pt>
                <c:pt idx="37">
                  <c:v>Victor</c:v>
                </c:pt>
                <c:pt idx="38">
                  <c:v>Wendy</c:v>
                </c:pt>
                <c:pt idx="39">
                  <c:v>Xavier</c:v>
                </c:pt>
                <c:pt idx="40">
                  <c:v>Yvette</c:v>
                </c:pt>
                <c:pt idx="41">
                  <c:v>Zoe</c:v>
                </c:pt>
              </c:strCache>
            </c:strRef>
          </c:cat>
          <c:val>
            <c:numRef>
              <c:f>Sheet8!$B$4:$B$46</c:f>
              <c:numCache>
                <c:formatCode>General</c:formatCode>
                <c:ptCount val="42"/>
                <c:pt idx="0">
                  <c:v>1</c:v>
                </c:pt>
                <c:pt idx="1">
                  <c:v>1</c:v>
                </c:pt>
                <c:pt idx="2">
                  <c:v>1</c:v>
                </c:pt>
                <c:pt idx="3">
                  <c:v>1</c:v>
                </c:pt>
                <c:pt idx="4">
                  <c:v>1</c:v>
                </c:pt>
                <c:pt idx="5">
                  <c:v>1</c:v>
                </c:pt>
                <c:pt idx="6">
                  <c:v>1</c:v>
                </c:pt>
                <c:pt idx="7">
                  <c:v>1</c:v>
                </c:pt>
                <c:pt idx="8">
                  <c:v>1</c:v>
                </c:pt>
                <c:pt idx="9">
                  <c:v>1</c:v>
                </c:pt>
                <c:pt idx="10">
                  <c:v>2</c:v>
                </c:pt>
                <c:pt idx="11">
                  <c:v>1</c:v>
                </c:pt>
                <c:pt idx="12">
                  <c:v>1</c:v>
                </c:pt>
                <c:pt idx="13">
                  <c:v>1</c:v>
                </c:pt>
                <c:pt idx="14">
                  <c:v>1</c:v>
                </c:pt>
                <c:pt idx="15">
                  <c:v>1</c:v>
                </c:pt>
                <c:pt idx="16">
                  <c:v>1</c:v>
                </c:pt>
                <c:pt idx="17">
                  <c:v>1</c:v>
                </c:pt>
                <c:pt idx="18">
                  <c:v>1</c:v>
                </c:pt>
                <c:pt idx="19">
                  <c:v>1</c:v>
                </c:pt>
                <c:pt idx="20">
                  <c:v>1</c:v>
                </c:pt>
                <c:pt idx="21">
                  <c:v>1</c:v>
                </c:pt>
                <c:pt idx="22">
                  <c:v>2</c:v>
                </c:pt>
                <c:pt idx="23">
                  <c:v>1</c:v>
                </c:pt>
                <c:pt idx="24">
                  <c:v>1</c:v>
                </c:pt>
                <c:pt idx="25">
                  <c:v>1</c:v>
                </c:pt>
                <c:pt idx="26">
                  <c:v>1</c:v>
                </c:pt>
                <c:pt idx="27">
                  <c:v>1</c:v>
                </c:pt>
                <c:pt idx="28">
                  <c:v>1</c:v>
                </c:pt>
                <c:pt idx="29">
                  <c:v>1</c:v>
                </c:pt>
                <c:pt idx="30">
                  <c:v>1</c:v>
                </c:pt>
                <c:pt idx="31">
                  <c:v>1</c:v>
                </c:pt>
                <c:pt idx="32">
                  <c:v>2</c:v>
                </c:pt>
                <c:pt idx="33">
                  <c:v>2</c:v>
                </c:pt>
                <c:pt idx="34">
                  <c:v>1</c:v>
                </c:pt>
                <c:pt idx="35">
                  <c:v>1</c:v>
                </c:pt>
                <c:pt idx="36">
                  <c:v>1</c:v>
                </c:pt>
                <c:pt idx="37">
                  <c:v>1</c:v>
                </c:pt>
                <c:pt idx="38">
                  <c:v>1</c:v>
                </c:pt>
                <c:pt idx="39">
                  <c:v>1</c:v>
                </c:pt>
                <c:pt idx="40">
                  <c:v>1</c:v>
                </c:pt>
                <c:pt idx="41">
                  <c:v>1</c:v>
                </c:pt>
              </c:numCache>
            </c:numRef>
          </c:val>
          <c:extLst>
            <c:ext xmlns:c16="http://schemas.microsoft.com/office/drawing/2014/chart" uri="{C3380CC4-5D6E-409C-BE32-E72D297353CC}">
              <c16:uniqueId val="{00000000-71A5-4667-9548-1FD0CD530980}"/>
            </c:ext>
          </c:extLst>
        </c:ser>
        <c:dLbls>
          <c:showLegendKey val="0"/>
          <c:showVal val="0"/>
          <c:showCatName val="0"/>
          <c:showSerName val="0"/>
          <c:showPercent val="0"/>
          <c:showBubbleSize val="0"/>
        </c:dLbls>
        <c:gapWidth val="219"/>
        <c:overlap val="-27"/>
        <c:axId val="1512882416"/>
        <c:axId val="584439152"/>
      </c:barChart>
      <c:catAx>
        <c:axId val="15128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4439152"/>
        <c:crosses val="autoZero"/>
        <c:auto val="1"/>
        <c:lblAlgn val="ctr"/>
        <c:lblOffset val="100"/>
        <c:noMultiLvlLbl val="0"/>
      </c:catAx>
      <c:valAx>
        <c:axId val="58443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1288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266700</xdr:colOff>
      <xdr:row>7</xdr:row>
      <xdr:rowOff>41910</xdr:rowOff>
    </xdr:from>
    <xdr:to>
      <xdr:col>11</xdr:col>
      <xdr:colOff>571500</xdr:colOff>
      <xdr:row>22</xdr:row>
      <xdr:rowOff>41910</xdr:rowOff>
    </xdr:to>
    <xdr:graphicFrame macro="">
      <xdr:nvGraphicFramePr>
        <xdr:cNvPr id="8" name="Chart 7">
          <a:extLst>
            <a:ext uri="{FF2B5EF4-FFF2-40B4-BE49-F238E27FC236}">
              <a16:creationId xmlns:a16="http://schemas.microsoft.com/office/drawing/2014/main" id="{1CF5B2F7-0920-8F4F-8B55-41A75CCA3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8</xdr:row>
      <xdr:rowOff>148590</xdr:rowOff>
    </xdr:from>
    <xdr:to>
      <xdr:col>11</xdr:col>
      <xdr:colOff>167640</xdr:colOff>
      <xdr:row>23</xdr:row>
      <xdr:rowOff>148590</xdr:rowOff>
    </xdr:to>
    <xdr:graphicFrame macro="">
      <xdr:nvGraphicFramePr>
        <xdr:cNvPr id="2" name="Chart 1">
          <a:extLst>
            <a:ext uri="{FF2B5EF4-FFF2-40B4-BE49-F238E27FC236}">
              <a16:creationId xmlns:a16="http://schemas.microsoft.com/office/drawing/2014/main" id="{F7E31D7A-07E2-0441-7E13-1C586D1D3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1</xdr:row>
      <xdr:rowOff>140970</xdr:rowOff>
    </xdr:from>
    <xdr:to>
      <xdr:col>11</xdr:col>
      <xdr:colOff>541020</xdr:colOff>
      <xdr:row>16</xdr:row>
      <xdr:rowOff>140970</xdr:rowOff>
    </xdr:to>
    <xdr:graphicFrame macro="">
      <xdr:nvGraphicFramePr>
        <xdr:cNvPr id="2" name="Chart 1">
          <a:extLst>
            <a:ext uri="{FF2B5EF4-FFF2-40B4-BE49-F238E27FC236}">
              <a16:creationId xmlns:a16="http://schemas.microsoft.com/office/drawing/2014/main" id="{AC52956E-74D4-5F19-0066-67A02F4EE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4</xdr:row>
      <xdr:rowOff>3810</xdr:rowOff>
    </xdr:from>
    <xdr:to>
      <xdr:col>14</xdr:col>
      <xdr:colOff>441960</xdr:colOff>
      <xdr:row>24</xdr:row>
      <xdr:rowOff>167640</xdr:rowOff>
    </xdr:to>
    <xdr:graphicFrame macro="">
      <xdr:nvGraphicFramePr>
        <xdr:cNvPr id="2" name="Chart 1">
          <a:extLst>
            <a:ext uri="{FF2B5EF4-FFF2-40B4-BE49-F238E27FC236}">
              <a16:creationId xmlns:a16="http://schemas.microsoft.com/office/drawing/2014/main" id="{16180D46-F04E-1E87-6724-DA6074E73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317500</xdr:colOff>
      <xdr:row>5</xdr:row>
      <xdr:rowOff>76200</xdr:rowOff>
    </xdr:from>
    <xdr:to>
      <xdr:col>12</xdr:col>
      <xdr:colOff>1341967</xdr:colOff>
      <xdr:row>17</xdr:row>
      <xdr:rowOff>127000</xdr:rowOff>
    </xdr:to>
    <xdr:graphicFrame macro="">
      <xdr:nvGraphicFramePr>
        <xdr:cNvPr id="2" name="Chart 1">
          <a:extLst>
            <a:ext uri="{FF2B5EF4-FFF2-40B4-BE49-F238E27FC236}">
              <a16:creationId xmlns:a16="http://schemas.microsoft.com/office/drawing/2014/main" id="{AC118529-5BE6-419F-A402-01E0950A5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44450</xdr:colOff>
      <xdr:row>19</xdr:row>
      <xdr:rowOff>43388</xdr:rowOff>
    </xdr:from>
    <xdr:to>
      <xdr:col>25</xdr:col>
      <xdr:colOff>152400</xdr:colOff>
      <xdr:row>38</xdr:row>
      <xdr:rowOff>165099</xdr:rowOff>
    </xdr:to>
    <xdr:graphicFrame macro="">
      <xdr:nvGraphicFramePr>
        <xdr:cNvPr id="3" name="Chart 2">
          <a:extLst>
            <a:ext uri="{FF2B5EF4-FFF2-40B4-BE49-F238E27FC236}">
              <a16:creationId xmlns:a16="http://schemas.microsoft.com/office/drawing/2014/main" id="{ACE47C6D-CAA8-4E49-AC32-EF2FE848D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34471</xdr:colOff>
      <xdr:row>5</xdr:row>
      <xdr:rowOff>12701</xdr:rowOff>
    </xdr:from>
    <xdr:to>
      <xdr:col>20</xdr:col>
      <xdr:colOff>399143</xdr:colOff>
      <xdr:row>19</xdr:row>
      <xdr:rowOff>99786</xdr:rowOff>
    </xdr:to>
    <xdr:graphicFrame macro="">
      <xdr:nvGraphicFramePr>
        <xdr:cNvPr id="4" name="Chart 3">
          <a:extLst>
            <a:ext uri="{FF2B5EF4-FFF2-40B4-BE49-F238E27FC236}">
              <a16:creationId xmlns:a16="http://schemas.microsoft.com/office/drawing/2014/main" id="{681CDEDF-DD9C-44FF-BFF0-29B6464F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129565</xdr:colOff>
      <xdr:row>18</xdr:row>
      <xdr:rowOff>54115</xdr:rowOff>
    </xdr:from>
    <xdr:to>
      <xdr:col>13</xdr:col>
      <xdr:colOff>152400</xdr:colOff>
      <xdr:row>35</xdr:row>
      <xdr:rowOff>116490</xdr:rowOff>
    </xdr:to>
    <xdr:graphicFrame macro="">
      <xdr:nvGraphicFramePr>
        <xdr:cNvPr id="5" name="Chart 4">
          <a:extLst>
            <a:ext uri="{FF2B5EF4-FFF2-40B4-BE49-F238E27FC236}">
              <a16:creationId xmlns:a16="http://schemas.microsoft.com/office/drawing/2014/main" id="{20B0D9C8-2771-4A51-93BA-B2E8ECDBC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256716</xdr:colOff>
      <xdr:row>36</xdr:row>
      <xdr:rowOff>180778</xdr:rowOff>
    </xdr:from>
    <xdr:to>
      <xdr:col>10</xdr:col>
      <xdr:colOff>692895</xdr:colOff>
      <xdr:row>51</xdr:row>
      <xdr:rowOff>3088</xdr:rowOff>
    </xdr:to>
    <mc:AlternateContent xmlns:mc="http://schemas.openxmlformats.org/markup-compatibility/2006" xmlns:a14="http://schemas.microsoft.com/office/drawing/2010/main">
      <mc:Choice Requires="a14">
        <xdr:graphicFrame macro="">
          <xdr:nvGraphicFramePr>
            <xdr:cNvPr id="6" name="Project Name">
              <a:extLst>
                <a:ext uri="{FF2B5EF4-FFF2-40B4-BE49-F238E27FC236}">
                  <a16:creationId xmlns:a16="http://schemas.microsoft.com/office/drawing/2014/main" id="{C1586FB7-34AD-D8CB-CA69-64E5490FA1B8}"/>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mlns="">
        <xdr:sp macro="" textlink="">
          <xdr:nvSpPr>
            <xdr:cNvPr id="0" name=""/>
            <xdr:cNvSpPr>
              <a:spLocks noTextEdit="1"/>
            </xdr:cNvSpPr>
          </xdr:nvSpPr>
          <xdr:spPr>
            <a:xfrm>
              <a:off x="9781716" y="744605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729681</xdr:colOff>
      <xdr:row>38</xdr:row>
      <xdr:rowOff>23123</xdr:rowOff>
    </xdr:from>
    <xdr:to>
      <xdr:col>12</xdr:col>
      <xdr:colOff>706033</xdr:colOff>
      <xdr:row>52</xdr:row>
      <xdr:rowOff>29364</xdr:rowOff>
    </xdr:to>
    <mc:AlternateContent xmlns:mc="http://schemas.openxmlformats.org/markup-compatibility/2006" xmlns:a14="http://schemas.microsoft.com/office/drawing/2010/main">
      <mc:Choice Requires="a14">
        <xdr:graphicFrame macro="">
          <xdr:nvGraphicFramePr>
            <xdr:cNvPr id="7" name="Assigned to">
              <a:extLst>
                <a:ext uri="{FF2B5EF4-FFF2-40B4-BE49-F238E27FC236}">
                  <a16:creationId xmlns:a16="http://schemas.microsoft.com/office/drawing/2014/main" id="{CF975C7E-3C09-9130-EF33-82CDACA266C7}"/>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12895405" y="765626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335542</xdr:colOff>
      <xdr:row>38</xdr:row>
      <xdr:rowOff>141364</xdr:rowOff>
    </xdr:from>
    <xdr:to>
      <xdr:col>14</xdr:col>
      <xdr:colOff>469549</xdr:colOff>
      <xdr:row>52</xdr:row>
      <xdr:rowOff>147605</xdr:rowOff>
    </xdr:to>
    <mc:AlternateContent xmlns:mc="http://schemas.openxmlformats.org/markup-compatibility/2006" xmlns:a14="http://schemas.microsoft.com/office/drawing/2010/main">
      <mc:Choice Requires="a14">
        <xdr:graphicFrame macro="">
          <xdr:nvGraphicFramePr>
            <xdr:cNvPr id="8" name="task status">
              <a:extLst>
                <a:ext uri="{FF2B5EF4-FFF2-40B4-BE49-F238E27FC236}">
                  <a16:creationId xmlns:a16="http://schemas.microsoft.com/office/drawing/2014/main" id="{4E73678B-6EC5-FAA6-2727-B55A1E015B31}"/>
                </a:ext>
              </a:extLst>
            </xdr:cNvPr>
            <xdr:cNvGraphicFramePr/>
          </xdr:nvGraphicFramePr>
          <xdr:xfrm>
            <a:off x="0" y="0"/>
            <a:ext cx="0" cy="0"/>
          </xdr:xfrm>
          <a:graphic>
            <a:graphicData uri="http://schemas.microsoft.com/office/drawing/2010/slicer">
              <sle:slicer xmlns:sle="http://schemas.microsoft.com/office/drawing/2010/slicer" name="task status"/>
            </a:graphicData>
          </a:graphic>
        </xdr:graphicFrame>
      </mc:Choice>
      <mc:Fallback xmlns="">
        <xdr:sp macro="" textlink="">
          <xdr:nvSpPr>
            <xdr:cNvPr id="0" name=""/>
            <xdr:cNvSpPr>
              <a:spLocks noTextEdit="1"/>
            </xdr:cNvSpPr>
          </xdr:nvSpPr>
          <xdr:spPr>
            <a:xfrm>
              <a:off x="15851439" y="777450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refreshedDate="46288.981378240744" createdVersion="8" refreshedVersion="8" minRefreshableVersion="3" recordCount="46" xr:uid="{8E2AD817-09A1-4D32-B5B5-F737D9857B44}">
  <cacheSource type="worksheet">
    <worksheetSource ref="A2:H48" sheet="lakshay"/>
  </cacheSource>
  <cacheFields count="8">
    <cacheField name="Project Name" numFmtId="0">
      <sharedItems count="15">
        <s v="Marketing"/>
        <s v="Product Dev"/>
        <s v="Customer Svc"/>
        <s v="Financial"/>
        <s v="Research"/>
        <s v="Development"/>
        <s v="Production"/>
        <s v="Sales"/>
        <s v="Support"/>
        <s v="Operations"/>
        <s v="Consulting"/>
        <s v="Training"/>
        <s v="Events"/>
        <s v="Logistics"/>
        <s v="Engineering"/>
      </sharedItems>
    </cacheField>
    <cacheField name="Task Name" numFmtId="0">
      <sharedItems/>
    </cacheField>
    <cacheField name="Assigned to" numFmtId="0">
      <sharedItems count="42">
        <s v="Alice"/>
        <s v="Bob"/>
        <s v="Charlie"/>
        <s v="Daisy"/>
        <s v="Ethan"/>
        <s v="Fiona"/>
        <s v="Gabriel"/>
        <s v="Hannah"/>
        <s v="Ian"/>
        <s v="Julia"/>
        <s v="Kevin"/>
        <s v="Mark"/>
        <s v="Nathan"/>
        <s v="Olivia"/>
        <s v="Peter"/>
        <s v="Quinn"/>
        <s v="Rachel"/>
        <s v="Sam"/>
        <s v="Tim"/>
        <s v="Ursula"/>
        <s v="Victor"/>
        <s v="Wendy"/>
        <s v="Xavier"/>
        <s v="Yvette"/>
        <s v="Zoe"/>
        <s v="Aaron"/>
        <s v="Bella"/>
        <s v="Calvin"/>
        <s v="Diane"/>
        <s v="Edward"/>
        <s v="Gary"/>
        <s v="Helen"/>
        <s v="Isaac"/>
        <s v="Jane"/>
        <s v="Kyle"/>
        <s v="Laura"/>
        <s v="Mike"/>
        <s v="n Nancy"/>
        <s v="Oscar"/>
        <s v="Patricia"/>
        <s v="Quentin"/>
        <s v="Tom"/>
      </sharedItems>
    </cacheField>
    <cacheField name="Start Date" numFmtId="0">
      <sharedItems containsDate="1" containsMixedTypes="1" minDate="2024-01-01T00:00:00" maxDate="2024-08-03T00:00:00"/>
    </cacheField>
    <cacheField name="Days Required" numFmtId="0">
      <sharedItems containsSemiMixedTypes="0" containsString="0" containsNumber="1" containsInteger="1" minValue="10" maxValue="60"/>
    </cacheField>
    <cacheField name="End Date" numFmtId="0">
      <sharedItems containsDate="1" containsMixedTypes="1" minDate="2024-02-02T00:00:00" maxDate="2024-09-04T00:00:00"/>
    </cacheField>
    <cacheField name="Progress" numFmtId="9">
      <sharedItems containsSemiMixedTypes="0" containsString="0" containsNumber="1" minValue="0" maxValue="1"/>
    </cacheField>
    <cacheField name="task status" numFmtId="0">
      <sharedItems count="3">
        <s v="In Progress"/>
        <s v="Completed"/>
        <s v="Not Started"/>
      </sharedItems>
    </cacheField>
  </cacheFields>
  <extLst>
    <ext xmlns:x14="http://schemas.microsoft.com/office/spreadsheetml/2009/9/main" uri="{725AE2AE-9491-48be-B2B4-4EB974FC3084}">
      <x14:pivotCacheDefinition pivotCacheId="90773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s v="Market Research"/>
    <x v="0"/>
    <d v="2024-01-01T00:00:00"/>
    <n v="13"/>
    <s v="1/14/2024"/>
    <n v="0.78"/>
    <x v="0"/>
  </r>
  <r>
    <x v="0"/>
    <s v="Content Creation"/>
    <x v="1"/>
    <s v="1/14/2024"/>
    <n v="14"/>
    <s v="1/28/2024"/>
    <n v="1"/>
    <x v="0"/>
  </r>
  <r>
    <x v="0"/>
    <s v="Social Media Planning"/>
    <x v="2"/>
    <s v="1/28/2024"/>
    <n v="22"/>
    <s v="2/19/2024"/>
    <n v="0.45"/>
    <x v="1"/>
  </r>
  <r>
    <x v="0"/>
    <s v="Campaign Analysis"/>
    <x v="3"/>
    <s v="2/18/2024"/>
    <n v="25"/>
    <s v="3/14/2024"/>
    <n v="0"/>
    <x v="0"/>
  </r>
  <r>
    <x v="1"/>
    <s v="Prototype Development"/>
    <x v="4"/>
    <d v="2024-02-01T00:00:00"/>
    <n v="18"/>
    <s v="1/20/2024"/>
    <n v="1"/>
    <x v="2"/>
  </r>
  <r>
    <x v="1"/>
    <s v="Quality Assurance"/>
    <x v="5"/>
    <s v="1/20/2024"/>
    <n v="10"/>
    <s v="1/30/2024"/>
    <n v="0.78"/>
    <x v="1"/>
  </r>
  <r>
    <x v="1"/>
    <s v="User Interface Design"/>
    <x v="6"/>
    <d v="2024-04-02T00:00:00"/>
    <n v="25"/>
    <s v="2/29/2024"/>
    <n v="0"/>
    <x v="0"/>
  </r>
  <r>
    <x v="2"/>
    <s v="Service Improvement"/>
    <x v="7"/>
    <d v="2024-01-02T00:00:00"/>
    <n v="22"/>
    <s v="2/23/2024"/>
    <n v="1"/>
    <x v="2"/>
  </r>
  <r>
    <x v="2"/>
    <s v="Ticket Resolution"/>
    <x v="8"/>
    <s v="2/24/2024"/>
    <n v="25"/>
    <s v="3/20/2024"/>
    <n v="1"/>
    <x v="1"/>
  </r>
  <r>
    <x v="2"/>
    <s v="Customer Feedback"/>
    <x v="9"/>
    <s v="3/21/2024"/>
    <n v="30"/>
    <s v="4/20/2024"/>
    <n v="0"/>
    <x v="1"/>
  </r>
  <r>
    <x v="3"/>
    <s v="Budget Analysis"/>
    <x v="10"/>
    <d v="2024-02-02T00:00:00"/>
    <n v="22"/>
    <s v="2/24/2024"/>
    <n v="0.1"/>
    <x v="2"/>
  </r>
  <r>
    <x v="3"/>
    <s v="Financial Reporting"/>
    <x v="11"/>
    <s v="2/13/2024"/>
    <n v="21"/>
    <d v="2024-09-02T00:00:00"/>
    <n v="0.78"/>
    <x v="0"/>
  </r>
  <r>
    <x v="3"/>
    <s v="Investment Planning"/>
    <x v="11"/>
    <s v="3/19/2024"/>
    <n v="25"/>
    <s v="4/13/2024"/>
    <n v="1"/>
    <x v="0"/>
  </r>
  <r>
    <x v="4"/>
    <s v="Market Trends Analysis"/>
    <x v="12"/>
    <d v="2024-02-01T00:00:00"/>
    <n v="23"/>
    <s v="1/25/2024"/>
    <n v="0.5"/>
    <x v="1"/>
  </r>
  <r>
    <x v="4"/>
    <s v="Data Collection"/>
    <x v="13"/>
    <s v="1/26/2024"/>
    <n v="32"/>
    <s v="2/27/2024"/>
    <n v="0"/>
    <x v="0"/>
  </r>
  <r>
    <x v="4"/>
    <s v="Research Paper Writing"/>
    <x v="14"/>
    <s v="2/28/2024"/>
    <n v="27"/>
    <s v="3/26/2024"/>
    <n v="0"/>
    <x v="2"/>
  </r>
  <r>
    <x v="5"/>
    <s v="Software Development"/>
    <x v="15"/>
    <d v="2024-02-01T00:00:00"/>
    <n v="36"/>
    <d v="2024-07-02T00:00:00"/>
    <n v="1"/>
    <x v="2"/>
  </r>
  <r>
    <x v="5"/>
    <s v="Feature Enhancement"/>
    <x v="16"/>
    <d v="2024-08-02T00:00:00"/>
    <n v="34"/>
    <s v="3/13/2024"/>
    <n v="0"/>
    <x v="1"/>
  </r>
  <r>
    <x v="5"/>
    <s v="Code Review"/>
    <x v="17"/>
    <s v="3/14/2024"/>
    <n v="30"/>
    <s v="4/13/2024"/>
    <n v="0"/>
    <x v="2"/>
  </r>
  <r>
    <x v="6"/>
    <s v="Manufacturing"/>
    <x v="18"/>
    <d v="2024-03-01T00:00:00"/>
    <n v="47"/>
    <s v="2/19/2024"/>
    <n v="0.3"/>
    <x v="2"/>
  </r>
  <r>
    <x v="6"/>
    <s v="Quality Control"/>
    <x v="19"/>
    <s v="2/17/2024"/>
    <n v="27"/>
    <s v="3/15/2024"/>
    <n v="0"/>
    <x v="0"/>
  </r>
  <r>
    <x v="6"/>
    <s v="Packaging Design"/>
    <x v="20"/>
    <s v="3/14/2024"/>
    <n v="22"/>
    <d v="2024-05-04T00:00:00"/>
    <n v="0"/>
    <x v="2"/>
  </r>
  <r>
    <x v="7"/>
    <s v="Lead Generation"/>
    <x v="21"/>
    <d v="2024-03-01T00:00:00"/>
    <n v="60"/>
    <d v="2024-03-03T00:00:00"/>
    <n v="0.7"/>
    <x v="2"/>
  </r>
  <r>
    <x v="7"/>
    <s v="Client Meetings"/>
    <x v="22"/>
    <d v="2024-06-01T00:00:00"/>
    <n v="20"/>
    <s v="1/26/2024"/>
    <n v="0.78"/>
    <x v="0"/>
  </r>
  <r>
    <x v="7"/>
    <s v="Contract Negotiation"/>
    <x v="23"/>
    <d v="2024-03-02T00:00:00"/>
    <n v="35"/>
    <d v="2024-09-03T00:00:00"/>
    <n v="0"/>
    <x v="0"/>
  </r>
  <r>
    <x v="8"/>
    <s v="Technical Support"/>
    <x v="24"/>
    <d v="2024-01-01T00:00:00"/>
    <n v="25"/>
    <s v="1/26/2024"/>
    <n v="1"/>
    <x v="2"/>
  </r>
  <r>
    <x v="8"/>
    <s v="Bug Fixes"/>
    <x v="25"/>
    <s v="1/27/2024"/>
    <n v="31"/>
    <s v="2/27/2024"/>
    <n v="1"/>
    <x v="1"/>
  </r>
  <r>
    <x v="8"/>
    <s v="Software Updates"/>
    <x v="26"/>
    <d v="2024-02-03T00:00:00"/>
    <n v="22"/>
    <s v="3/24/2024"/>
    <n v="0"/>
    <x v="1"/>
  </r>
  <r>
    <x v="9"/>
    <s v="Process Optimization"/>
    <x v="27"/>
    <d v="2024-03-01T00:00:00"/>
    <n v="30"/>
    <d v="2024-02-02T00:00:00"/>
    <n v="0.4"/>
    <x v="2"/>
  </r>
  <r>
    <x v="9"/>
    <s v="Inventory Management"/>
    <x v="28"/>
    <d v="2024-03-02T00:00:00"/>
    <n v="25"/>
    <s v="2/28/2024"/>
    <n v="0"/>
    <x v="0"/>
  </r>
  <r>
    <x v="9"/>
    <s v="Facility Maintenance"/>
    <x v="29"/>
    <s v="2/29/2024"/>
    <n v="20"/>
    <s v="3/20/2024"/>
    <n v="0"/>
    <x v="2"/>
  </r>
  <r>
    <x v="10"/>
    <s v="Strategic Planning"/>
    <x v="5"/>
    <d v="2024-02-01T00:00:00"/>
    <n v="35"/>
    <d v="2024-06-02T00:00:00"/>
    <n v="0.6"/>
    <x v="2"/>
  </r>
  <r>
    <x v="10"/>
    <s v="Market Expansion"/>
    <x v="30"/>
    <d v="2024-02-02T00:00:00"/>
    <n v="32"/>
    <d v="2024-05-03T00:00:00"/>
    <n v="0"/>
    <x v="0"/>
  </r>
  <r>
    <x v="10"/>
    <s v="Client Advisory"/>
    <x v="31"/>
    <d v="2024-06-03T00:00:00"/>
    <n v="25"/>
    <s v="3/31/2024"/>
    <n v="0"/>
    <x v="2"/>
  </r>
  <r>
    <x v="11"/>
    <s v="Employee Training"/>
    <x v="32"/>
    <d v="2024-04-01T00:00:00"/>
    <n v="27"/>
    <s v="1/31/2024"/>
    <n v="0.8"/>
    <x v="2"/>
  </r>
  <r>
    <x v="11"/>
    <s v="Certification Programs"/>
    <x v="33"/>
    <s v="1/28/2024"/>
    <n v="30"/>
    <s v="2/27/2024"/>
    <n v="0"/>
    <x v="0"/>
  </r>
  <r>
    <x v="11"/>
    <s v="Skill Development"/>
    <x v="34"/>
    <s v="2/28/2024"/>
    <n v="22"/>
    <s v="3/21/2024"/>
    <n v="0"/>
    <x v="2"/>
  </r>
  <r>
    <x v="12"/>
    <s v="Event Planning"/>
    <x v="35"/>
    <d v="2024-03-01T00:00:00"/>
    <n v="25"/>
    <s v="1/28/2024"/>
    <n v="0.3"/>
    <x v="2"/>
  </r>
  <r>
    <x v="12"/>
    <s v="Conference Management"/>
    <x v="36"/>
    <d v="2024-03-02T00:00:00"/>
    <n v="20"/>
    <s v="2/23/2024"/>
    <n v="0"/>
    <x v="0"/>
  </r>
  <r>
    <x v="12"/>
    <s v="Sponsorship Coordinatio"/>
    <x v="37"/>
    <s v="2/24/2024"/>
    <n v="35"/>
    <s v="3/30/2024"/>
    <n v="0"/>
    <x v="2"/>
  </r>
  <r>
    <x v="13"/>
    <s v="Supply Chain Management"/>
    <x v="38"/>
    <d v="2024-03-01T00:00:00"/>
    <n v="25"/>
    <s v="1/28/2024"/>
    <n v="0.5"/>
    <x v="2"/>
  </r>
  <r>
    <x v="13"/>
    <s v="Transportation Planning"/>
    <x v="39"/>
    <s v="1/29/2024"/>
    <n v="30"/>
    <s v="2/28/2024"/>
    <n v="1"/>
    <x v="0"/>
  </r>
  <r>
    <x v="13"/>
    <s v="Inventory Optimization"/>
    <x v="40"/>
    <s v="3/29/2024"/>
    <n v="20"/>
    <s v="4/18/2024"/>
    <n v="0"/>
    <x v="1"/>
  </r>
  <r>
    <x v="14"/>
    <s v="Product Design"/>
    <x v="16"/>
    <d v="2024-02-01T00:00:00"/>
    <n v="25"/>
    <s v="1/27/2024"/>
    <n v="0.2"/>
    <x v="2"/>
  </r>
  <r>
    <x v="14"/>
    <s v="System Integration"/>
    <x v="17"/>
    <d v="2024-02-02T00:00:00"/>
    <n v="22"/>
    <s v="2/24/2024"/>
    <n v="0"/>
    <x v="0"/>
  </r>
  <r>
    <x v="14"/>
    <s v="Prototype Testing"/>
    <x v="41"/>
    <s v="2/23/2024"/>
    <n v="27"/>
    <s v="3/21/20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CBCDE0-C2A6-4AC4-B4DA-6430934700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8">
    <pivotField showAll="0">
      <items count="16">
        <item x="10"/>
        <item x="2"/>
        <item x="5"/>
        <item x="14"/>
        <item x="12"/>
        <item x="3"/>
        <item x="13"/>
        <item x="0"/>
        <item x="9"/>
        <item x="1"/>
        <item x="6"/>
        <item x="4"/>
        <item x="7"/>
        <item x="8"/>
        <item x="11"/>
        <item t="default"/>
      </items>
    </pivotField>
    <pivotField dataField="1" showAll="0"/>
    <pivotField showAll="0"/>
    <pivotField showAll="0"/>
    <pivotField showAll="0"/>
    <pivotField showAll="0"/>
    <pivotField numFmtId="9" showAll="0"/>
    <pivotField axis="axisRow" showAll="0">
      <items count="4">
        <item x="1"/>
        <item x="0"/>
        <item x="2"/>
        <item t="default"/>
      </items>
    </pivotField>
  </pivotFields>
  <rowFields count="1">
    <field x="7"/>
  </rowFields>
  <rowItems count="4">
    <i>
      <x/>
    </i>
    <i>
      <x v="1"/>
    </i>
    <i>
      <x v="2"/>
    </i>
    <i t="grand">
      <x/>
    </i>
  </rowItems>
  <colItems count="1">
    <i/>
  </colItems>
  <dataFields count="1">
    <dataField name="Count of Task Name"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7D8A78-FCC0-4480-AA5F-BA41FAC052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8">
    <pivotField axis="axisRow" showAll="0">
      <items count="16">
        <item x="10"/>
        <item x="2"/>
        <item x="5"/>
        <item x="14"/>
        <item x="12"/>
        <item x="3"/>
        <item x="13"/>
        <item x="0"/>
        <item x="9"/>
        <item x="1"/>
        <item x="6"/>
        <item x="4"/>
        <item x="7"/>
        <item x="8"/>
        <item x="11"/>
        <item t="default"/>
      </items>
    </pivotField>
    <pivotField dataField="1" showAll="0"/>
    <pivotField showAll="0"/>
    <pivotField showAll="0"/>
    <pivotField showAll="0"/>
    <pivotField showAll="0"/>
    <pivotField numFmtId="9" showAll="0"/>
    <pivotField showAll="0">
      <items count="4">
        <item x="1"/>
        <item x="0"/>
        <item x="2"/>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Task Nam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451BD-66A7-4AA9-8388-B14C91187D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8">
    <pivotField axis="axisRow" showAll="0">
      <items count="16">
        <item x="10"/>
        <item x="2"/>
        <item x="5"/>
        <item x="14"/>
        <item x="12"/>
        <item x="3"/>
        <item x="13"/>
        <item x="0"/>
        <item x="9"/>
        <item x="1"/>
        <item x="6"/>
        <item x="4"/>
        <item x="7"/>
        <item x="8"/>
        <item x="11"/>
        <item t="default"/>
      </items>
    </pivotField>
    <pivotField showAll="0"/>
    <pivotField showAll="0"/>
    <pivotField showAll="0"/>
    <pivotField showAll="0"/>
    <pivotField showAll="0"/>
    <pivotField dataField="1" numFmtId="9"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Progress" fld="6" subtotal="average" baseField="0" baseItem="0" numFmtId="9"/>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AC2FB-3139-4C60-B070-9312C7FAAA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6" firstHeaderRow="1" firstDataRow="1" firstDataCol="1"/>
  <pivotFields count="8">
    <pivotField showAll="0"/>
    <pivotField dataField="1" showAll="0"/>
    <pivotField axis="axisRow"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showAll="0"/>
    <pivotField showAll="0"/>
    <pivotField showAll="0"/>
    <pivotField numFmtId="9" showAll="0"/>
    <pivotField showAll="0"/>
  </pivotFields>
  <rowFields count="1">
    <field x="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Count of Task Nam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07AC1843-FA7C-473F-BDA5-6453A750B3D0}" sourceName="Project Name">
  <pivotTables>
    <pivotTable tabId="5" name="PivotTable4"/>
    <pivotTable tabId="7" name="PivotTable6"/>
    <pivotTable tabId="8" name="PivotTable7"/>
  </pivotTables>
  <data>
    <tabular pivotCacheId="90773805">
      <items count="15">
        <i x="10" s="1"/>
        <i x="2" s="1"/>
        <i x="5" s="1"/>
        <i x="14" s="1"/>
        <i x="12" s="1"/>
        <i x="3" s="1"/>
        <i x="13" s="1"/>
        <i x="0" s="1"/>
        <i x="9" s="1"/>
        <i x="1" s="1"/>
        <i x="6" s="1"/>
        <i x="4" s="1"/>
        <i x="7"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CAB11BF3-62B8-4576-92C3-9B0F264007D1}" sourceName="Assigned to">
  <pivotTables>
    <pivotTable tabId="9" name="PivotTable8"/>
  </pivotTables>
  <data>
    <tabular pivotCacheId="90773805">
      <items count="42">
        <i x="25" s="1"/>
        <i x="0" s="1"/>
        <i x="26" s="1"/>
        <i x="1" s="1"/>
        <i x="27" s="1"/>
        <i x="2" s="1"/>
        <i x="3" s="1"/>
        <i x="28" s="1"/>
        <i x="29" s="1"/>
        <i x="4" s="1"/>
        <i x="5" s="1"/>
        <i x="6" s="1"/>
        <i x="30" s="1"/>
        <i x="7" s="1"/>
        <i x="31" s="1"/>
        <i x="8" s="1"/>
        <i x="32" s="1"/>
        <i x="33" s="1"/>
        <i x="9" s="1"/>
        <i x="10" s="1"/>
        <i x="34" s="1"/>
        <i x="35" s="1"/>
        <i x="11" s="1"/>
        <i x="36" s="1"/>
        <i x="37" s="1"/>
        <i x="12" s="1"/>
        <i x="13" s="1"/>
        <i x="38" s="1"/>
        <i x="39" s="1"/>
        <i x="14" s="1"/>
        <i x="40" s="1"/>
        <i x="15" s="1"/>
        <i x="16" s="1"/>
        <i x="17" s="1"/>
        <i x="18" s="1"/>
        <i x="41" s="1"/>
        <i x="19" s="1"/>
        <i x="20" s="1"/>
        <i x="21" s="1"/>
        <i x="22" s="1"/>
        <i x="23"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 xr10:uid="{32EE3301-5B71-445A-AFC6-7B06F9FE26E3}" sourceName="task status">
  <pivotTables>
    <pivotTable tabId="7" name="PivotTable6"/>
  </pivotTables>
  <data>
    <tabular pivotCacheId="9077380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908DB25F-4AE4-4D1A-A4F5-118CE07DEEC6}" cache="Slicer_Project_Name" caption="Project Name" rowHeight="247650"/>
  <slicer name="Assigned to" xr10:uid="{EEE2879E-3A69-4904-B5F3-C535AAA701D0}" cache="Slicer_Assigned_to" caption="Assigned to" rowHeight="247650"/>
  <slicer name="task status" xr10:uid="{7A36ED58-FD29-4CB4-B91D-2674247D23B0}" cache="Slicer_task_status" caption="task 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AF51-9527-4B33-940B-DD5B172AAC77}">
  <dimension ref="A3:B7"/>
  <sheetViews>
    <sheetView workbookViewId="0">
      <selection activeCell="P14" sqref="P14"/>
    </sheetView>
  </sheetViews>
  <sheetFormatPr defaultRowHeight="14.4" x14ac:dyDescent="0.3"/>
  <cols>
    <col min="1" max="1" width="12.44140625" bestFit="1" customWidth="1"/>
    <col min="2" max="2" width="17.44140625" bestFit="1" customWidth="1"/>
  </cols>
  <sheetData>
    <row r="3" spans="1:2" x14ac:dyDescent="0.3">
      <c r="A3" s="2" t="s">
        <v>144</v>
      </c>
      <c r="B3" t="s">
        <v>146</v>
      </c>
    </row>
    <row r="4" spans="1:2" x14ac:dyDescent="0.3">
      <c r="A4" s="3" t="s">
        <v>147</v>
      </c>
      <c r="B4">
        <v>9</v>
      </c>
    </row>
    <row r="5" spans="1:2" x14ac:dyDescent="0.3">
      <c r="A5" s="3" t="s">
        <v>148</v>
      </c>
      <c r="B5">
        <v>16</v>
      </c>
    </row>
    <row r="6" spans="1:2" x14ac:dyDescent="0.3">
      <c r="A6" s="3" t="s">
        <v>149</v>
      </c>
      <c r="B6">
        <v>21</v>
      </c>
    </row>
    <row r="7" spans="1:2" x14ac:dyDescent="0.3">
      <c r="A7" s="3" t="s">
        <v>145</v>
      </c>
      <c r="B7">
        <v>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0FEE-CEA8-4A96-A326-6F389C066675}">
  <dimension ref="A3:B19"/>
  <sheetViews>
    <sheetView workbookViewId="0">
      <selection activeCell="L7" sqref="L7"/>
    </sheetView>
  </sheetViews>
  <sheetFormatPr defaultRowHeight="14.4" x14ac:dyDescent="0.3"/>
  <cols>
    <col min="1" max="1" width="12.44140625" bestFit="1" customWidth="1"/>
    <col min="2" max="2" width="17.44140625" bestFit="1" customWidth="1"/>
  </cols>
  <sheetData>
    <row r="3" spans="1:2" x14ac:dyDescent="0.3">
      <c r="A3" s="2" t="s">
        <v>144</v>
      </c>
      <c r="B3" t="s">
        <v>146</v>
      </c>
    </row>
    <row r="4" spans="1:2" x14ac:dyDescent="0.3">
      <c r="A4" s="3" t="s">
        <v>105</v>
      </c>
      <c r="B4">
        <v>3</v>
      </c>
    </row>
    <row r="5" spans="1:2" x14ac:dyDescent="0.3">
      <c r="A5" s="3" t="s">
        <v>32</v>
      </c>
      <c r="B5">
        <v>3</v>
      </c>
    </row>
    <row r="6" spans="1:2" x14ac:dyDescent="0.3">
      <c r="A6" s="3" t="s">
        <v>65</v>
      </c>
      <c r="B6">
        <v>3</v>
      </c>
    </row>
    <row r="7" spans="1:2" x14ac:dyDescent="0.3">
      <c r="A7" s="3" t="s">
        <v>138</v>
      </c>
      <c r="B7">
        <v>3</v>
      </c>
    </row>
    <row r="8" spans="1:2" x14ac:dyDescent="0.3">
      <c r="A8" s="3" t="s">
        <v>120</v>
      </c>
      <c r="B8">
        <v>3</v>
      </c>
    </row>
    <row r="9" spans="1:2" x14ac:dyDescent="0.3">
      <c r="A9" s="3" t="s">
        <v>44</v>
      </c>
      <c r="B9">
        <v>3</v>
      </c>
    </row>
    <row r="10" spans="1:2" x14ac:dyDescent="0.3">
      <c r="A10" s="3" t="s">
        <v>128</v>
      </c>
      <c r="B10">
        <v>3</v>
      </c>
    </row>
    <row r="11" spans="1:2" x14ac:dyDescent="0.3">
      <c r="A11" s="3" t="s">
        <v>8</v>
      </c>
      <c r="B11">
        <v>4</v>
      </c>
    </row>
    <row r="12" spans="1:2" x14ac:dyDescent="0.3">
      <c r="A12" s="3" t="s">
        <v>98</v>
      </c>
      <c r="B12">
        <v>3</v>
      </c>
    </row>
    <row r="13" spans="1:2" x14ac:dyDescent="0.3">
      <c r="A13" s="3" t="s">
        <v>22</v>
      </c>
      <c r="B13">
        <v>3</v>
      </c>
    </row>
    <row r="14" spans="1:2" x14ac:dyDescent="0.3">
      <c r="A14" s="3" t="s">
        <v>73</v>
      </c>
      <c r="B14">
        <v>3</v>
      </c>
    </row>
    <row r="15" spans="1:2" x14ac:dyDescent="0.3">
      <c r="A15" s="3" t="s">
        <v>53</v>
      </c>
      <c r="B15">
        <v>3</v>
      </c>
    </row>
    <row r="16" spans="1:2" x14ac:dyDescent="0.3">
      <c r="A16" s="3" t="s">
        <v>82</v>
      </c>
      <c r="B16">
        <v>3</v>
      </c>
    </row>
    <row r="17" spans="1:2" x14ac:dyDescent="0.3">
      <c r="A17" s="3" t="s">
        <v>89</v>
      </c>
      <c r="B17">
        <v>3</v>
      </c>
    </row>
    <row r="18" spans="1:2" x14ac:dyDescent="0.3">
      <c r="A18" s="3" t="s">
        <v>112</v>
      </c>
      <c r="B18">
        <v>3</v>
      </c>
    </row>
    <row r="19" spans="1:2" x14ac:dyDescent="0.3">
      <c r="A19" s="3" t="s">
        <v>145</v>
      </c>
      <c r="B19">
        <v>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7E0F-EBF0-4389-BA48-F8493F5C4076}">
  <dimension ref="A3:B19"/>
  <sheetViews>
    <sheetView workbookViewId="0">
      <selection activeCell="I21" sqref="I21"/>
    </sheetView>
  </sheetViews>
  <sheetFormatPr defaultRowHeight="14.4" x14ac:dyDescent="0.3"/>
  <cols>
    <col min="1" max="1" width="12.44140625" bestFit="1" customWidth="1"/>
    <col min="2" max="2" width="17" bestFit="1" customWidth="1"/>
  </cols>
  <sheetData>
    <row r="3" spans="1:2" x14ac:dyDescent="0.3">
      <c r="A3" s="2" t="s">
        <v>144</v>
      </c>
      <c r="B3" t="s">
        <v>150</v>
      </c>
    </row>
    <row r="4" spans="1:2" x14ac:dyDescent="0.3">
      <c r="A4" s="3" t="s">
        <v>105</v>
      </c>
      <c r="B4" s="4">
        <v>0.19999999999999998</v>
      </c>
    </row>
    <row r="5" spans="1:2" x14ac:dyDescent="0.3">
      <c r="A5" s="3" t="s">
        <v>32</v>
      </c>
      <c r="B5" s="4">
        <v>0.66666666666666663</v>
      </c>
    </row>
    <row r="6" spans="1:2" x14ac:dyDescent="0.3">
      <c r="A6" s="3" t="s">
        <v>65</v>
      </c>
      <c r="B6" s="4">
        <v>0.33333333333333331</v>
      </c>
    </row>
    <row r="7" spans="1:2" x14ac:dyDescent="0.3">
      <c r="A7" s="3" t="s">
        <v>138</v>
      </c>
      <c r="B7" s="4">
        <v>6.6666666666666666E-2</v>
      </c>
    </row>
    <row r="8" spans="1:2" x14ac:dyDescent="0.3">
      <c r="A8" s="3" t="s">
        <v>120</v>
      </c>
      <c r="B8" s="4">
        <v>9.9999999999999992E-2</v>
      </c>
    </row>
    <row r="9" spans="1:2" x14ac:dyDescent="0.3">
      <c r="A9" s="3" t="s">
        <v>44</v>
      </c>
      <c r="B9" s="4">
        <v>0.62666666666666659</v>
      </c>
    </row>
    <row r="10" spans="1:2" x14ac:dyDescent="0.3">
      <c r="A10" s="3" t="s">
        <v>128</v>
      </c>
      <c r="B10" s="4">
        <v>0.5</v>
      </c>
    </row>
    <row r="11" spans="1:2" x14ac:dyDescent="0.3">
      <c r="A11" s="3" t="s">
        <v>8</v>
      </c>
      <c r="B11" s="4">
        <v>0.5575</v>
      </c>
    </row>
    <row r="12" spans="1:2" x14ac:dyDescent="0.3">
      <c r="A12" s="3" t="s">
        <v>98</v>
      </c>
      <c r="B12" s="4">
        <v>0.13333333333333333</v>
      </c>
    </row>
    <row r="13" spans="1:2" x14ac:dyDescent="0.3">
      <c r="A13" s="3" t="s">
        <v>22</v>
      </c>
      <c r="B13" s="4">
        <v>0.59333333333333338</v>
      </c>
    </row>
    <row r="14" spans="1:2" x14ac:dyDescent="0.3">
      <c r="A14" s="3" t="s">
        <v>73</v>
      </c>
      <c r="B14" s="4">
        <v>9.9999999999999992E-2</v>
      </c>
    </row>
    <row r="15" spans="1:2" x14ac:dyDescent="0.3">
      <c r="A15" s="3" t="s">
        <v>53</v>
      </c>
      <c r="B15" s="4">
        <v>0.16666666666666666</v>
      </c>
    </row>
    <row r="16" spans="1:2" x14ac:dyDescent="0.3">
      <c r="A16" s="3" t="s">
        <v>82</v>
      </c>
      <c r="B16" s="4">
        <v>0.49333333333333335</v>
      </c>
    </row>
    <row r="17" spans="1:2" x14ac:dyDescent="0.3">
      <c r="A17" s="3" t="s">
        <v>89</v>
      </c>
      <c r="B17" s="4">
        <v>0.66666666666666663</v>
      </c>
    </row>
    <row r="18" spans="1:2" x14ac:dyDescent="0.3">
      <c r="A18" s="3" t="s">
        <v>112</v>
      </c>
      <c r="B18" s="4">
        <v>0.26666666666666666</v>
      </c>
    </row>
    <row r="19" spans="1:2" x14ac:dyDescent="0.3">
      <c r="A19" s="3" t="s">
        <v>145</v>
      </c>
      <c r="B19" s="4">
        <v>0.36891304347826087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85BF-84CD-44BB-A2E0-A0F1AEE06AEA}">
  <dimension ref="A3:B46"/>
  <sheetViews>
    <sheetView workbookViewId="0">
      <selection activeCell="F30" sqref="F30"/>
    </sheetView>
  </sheetViews>
  <sheetFormatPr defaultRowHeight="14.4" x14ac:dyDescent="0.3"/>
  <cols>
    <col min="1" max="1" width="12.44140625" bestFit="1" customWidth="1"/>
    <col min="2" max="2" width="17.44140625" bestFit="1" customWidth="1"/>
  </cols>
  <sheetData>
    <row r="3" spans="1:2" x14ac:dyDescent="0.3">
      <c r="A3" s="2" t="s">
        <v>144</v>
      </c>
      <c r="B3" t="s">
        <v>146</v>
      </c>
    </row>
    <row r="4" spans="1:2" x14ac:dyDescent="0.3">
      <c r="A4" s="3" t="s">
        <v>93</v>
      </c>
      <c r="B4">
        <v>1</v>
      </c>
    </row>
    <row r="5" spans="1:2" x14ac:dyDescent="0.3">
      <c r="A5" s="3" t="s">
        <v>10</v>
      </c>
      <c r="B5">
        <v>1</v>
      </c>
    </row>
    <row r="6" spans="1:2" x14ac:dyDescent="0.3">
      <c r="A6" s="3" t="s">
        <v>96</v>
      </c>
      <c r="B6">
        <v>1</v>
      </c>
    </row>
    <row r="7" spans="1:2" x14ac:dyDescent="0.3">
      <c r="A7" s="3" t="s">
        <v>13</v>
      </c>
      <c r="B7">
        <v>1</v>
      </c>
    </row>
    <row r="8" spans="1:2" x14ac:dyDescent="0.3">
      <c r="A8" s="3" t="s">
        <v>100</v>
      </c>
      <c r="B8">
        <v>1</v>
      </c>
    </row>
    <row r="9" spans="1:2" x14ac:dyDescent="0.3">
      <c r="A9" s="3" t="s">
        <v>16</v>
      </c>
      <c r="B9">
        <v>1</v>
      </c>
    </row>
    <row r="10" spans="1:2" x14ac:dyDescent="0.3">
      <c r="A10" s="3" t="s">
        <v>19</v>
      </c>
      <c r="B10">
        <v>1</v>
      </c>
    </row>
    <row r="11" spans="1:2" x14ac:dyDescent="0.3">
      <c r="A11" s="3" t="s">
        <v>102</v>
      </c>
      <c r="B11">
        <v>1</v>
      </c>
    </row>
    <row r="12" spans="1:2" x14ac:dyDescent="0.3">
      <c r="A12" s="3" t="s">
        <v>104</v>
      </c>
      <c r="B12">
        <v>1</v>
      </c>
    </row>
    <row r="13" spans="1:2" x14ac:dyDescent="0.3">
      <c r="A13" s="3" t="s">
        <v>24</v>
      </c>
      <c r="B13">
        <v>1</v>
      </c>
    </row>
    <row r="14" spans="1:2" x14ac:dyDescent="0.3">
      <c r="A14" s="3" t="s">
        <v>27</v>
      </c>
      <c r="B14">
        <v>2</v>
      </c>
    </row>
    <row r="15" spans="1:2" x14ac:dyDescent="0.3">
      <c r="A15" s="3" t="s">
        <v>30</v>
      </c>
      <c r="B15">
        <v>1</v>
      </c>
    </row>
    <row r="16" spans="1:2" x14ac:dyDescent="0.3">
      <c r="A16" s="3" t="s">
        <v>108</v>
      </c>
      <c r="B16">
        <v>1</v>
      </c>
    </row>
    <row r="17" spans="1:2" x14ac:dyDescent="0.3">
      <c r="A17" s="3" t="s">
        <v>34</v>
      </c>
      <c r="B17">
        <v>1</v>
      </c>
    </row>
    <row r="18" spans="1:2" x14ac:dyDescent="0.3">
      <c r="A18" s="3" t="s">
        <v>110</v>
      </c>
      <c r="B18">
        <v>1</v>
      </c>
    </row>
    <row r="19" spans="1:2" x14ac:dyDescent="0.3">
      <c r="A19" s="3" t="s">
        <v>37</v>
      </c>
      <c r="B19">
        <v>1</v>
      </c>
    </row>
    <row r="20" spans="1:2" x14ac:dyDescent="0.3">
      <c r="A20" s="3" t="s">
        <v>114</v>
      </c>
      <c r="B20">
        <v>1</v>
      </c>
    </row>
    <row r="21" spans="1:2" x14ac:dyDescent="0.3">
      <c r="A21" s="3" t="s">
        <v>117</v>
      </c>
      <c r="B21">
        <v>1</v>
      </c>
    </row>
    <row r="22" spans="1:2" x14ac:dyDescent="0.3">
      <c r="A22" s="3" t="s">
        <v>41</v>
      </c>
      <c r="B22">
        <v>1</v>
      </c>
    </row>
    <row r="23" spans="1:2" x14ac:dyDescent="0.3">
      <c r="A23" s="3" t="s">
        <v>46</v>
      </c>
      <c r="B23">
        <v>1</v>
      </c>
    </row>
    <row r="24" spans="1:2" x14ac:dyDescent="0.3">
      <c r="A24" s="3" t="s">
        <v>119</v>
      </c>
      <c r="B24">
        <v>1</v>
      </c>
    </row>
    <row r="25" spans="1:2" x14ac:dyDescent="0.3">
      <c r="A25" s="3" t="s">
        <v>122</v>
      </c>
      <c r="B25">
        <v>1</v>
      </c>
    </row>
    <row r="26" spans="1:2" x14ac:dyDescent="0.3">
      <c r="A26" s="3" t="s">
        <v>48</v>
      </c>
      <c r="B26">
        <v>2</v>
      </c>
    </row>
    <row r="27" spans="1:2" x14ac:dyDescent="0.3">
      <c r="A27" s="3" t="s">
        <v>124</v>
      </c>
      <c r="B27">
        <v>1</v>
      </c>
    </row>
    <row r="28" spans="1:2" x14ac:dyDescent="0.3">
      <c r="A28" s="3" t="s">
        <v>126</v>
      </c>
      <c r="B28">
        <v>1</v>
      </c>
    </row>
    <row r="29" spans="1:2" x14ac:dyDescent="0.3">
      <c r="A29" s="3" t="s">
        <v>55</v>
      </c>
      <c r="B29">
        <v>1</v>
      </c>
    </row>
    <row r="30" spans="1:2" x14ac:dyDescent="0.3">
      <c r="A30" s="3" t="s">
        <v>58</v>
      </c>
      <c r="B30">
        <v>1</v>
      </c>
    </row>
    <row r="31" spans="1:2" x14ac:dyDescent="0.3">
      <c r="A31" s="3" t="s">
        <v>130</v>
      </c>
      <c r="B31">
        <v>1</v>
      </c>
    </row>
    <row r="32" spans="1:2" x14ac:dyDescent="0.3">
      <c r="A32" s="3" t="s">
        <v>132</v>
      </c>
      <c r="B32">
        <v>1</v>
      </c>
    </row>
    <row r="33" spans="1:2" x14ac:dyDescent="0.3">
      <c r="A33" s="3" t="s">
        <v>62</v>
      </c>
      <c r="B33">
        <v>1</v>
      </c>
    </row>
    <row r="34" spans="1:2" x14ac:dyDescent="0.3">
      <c r="A34" s="3" t="s">
        <v>135</v>
      </c>
      <c r="B34">
        <v>1</v>
      </c>
    </row>
    <row r="35" spans="1:2" x14ac:dyDescent="0.3">
      <c r="A35" s="3" t="s">
        <v>67</v>
      </c>
      <c r="B35">
        <v>1</v>
      </c>
    </row>
    <row r="36" spans="1:2" x14ac:dyDescent="0.3">
      <c r="A36" s="3" t="s">
        <v>69</v>
      </c>
      <c r="B36">
        <v>2</v>
      </c>
    </row>
    <row r="37" spans="1:2" x14ac:dyDescent="0.3">
      <c r="A37" s="3" t="s">
        <v>72</v>
      </c>
      <c r="B37">
        <v>2</v>
      </c>
    </row>
    <row r="38" spans="1:2" x14ac:dyDescent="0.3">
      <c r="A38" s="3" t="s">
        <v>75</v>
      </c>
      <c r="B38">
        <v>1</v>
      </c>
    </row>
    <row r="39" spans="1:2" x14ac:dyDescent="0.3">
      <c r="A39" s="3" t="s">
        <v>142</v>
      </c>
      <c r="B39">
        <v>1</v>
      </c>
    </row>
    <row r="40" spans="1:2" x14ac:dyDescent="0.3">
      <c r="A40" s="3" t="s">
        <v>77</v>
      </c>
      <c r="B40">
        <v>1</v>
      </c>
    </row>
    <row r="41" spans="1:2" x14ac:dyDescent="0.3">
      <c r="A41" s="3" t="s">
        <v>81</v>
      </c>
      <c r="B41">
        <v>1</v>
      </c>
    </row>
    <row r="42" spans="1:2" x14ac:dyDescent="0.3">
      <c r="A42" s="3" t="s">
        <v>84</v>
      </c>
      <c r="B42">
        <v>1</v>
      </c>
    </row>
    <row r="43" spans="1:2" x14ac:dyDescent="0.3">
      <c r="A43" s="3" t="s">
        <v>86</v>
      </c>
      <c r="B43">
        <v>1</v>
      </c>
    </row>
    <row r="44" spans="1:2" x14ac:dyDescent="0.3">
      <c r="A44" s="3" t="s">
        <v>88</v>
      </c>
      <c r="B44">
        <v>1</v>
      </c>
    </row>
    <row r="45" spans="1:2" x14ac:dyDescent="0.3">
      <c r="A45" s="3" t="s">
        <v>91</v>
      </c>
      <c r="B45">
        <v>1</v>
      </c>
    </row>
    <row r="46" spans="1:2" x14ac:dyDescent="0.3">
      <c r="A46" s="3" t="s">
        <v>145</v>
      </c>
      <c r="B46">
        <v>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1895-8DFC-416C-A299-9FEB1125E282}">
  <dimension ref="A1:N48"/>
  <sheetViews>
    <sheetView tabSelected="1" zoomScale="58" zoomScaleNormal="60" workbookViewId="0">
      <selection activeCell="P43" sqref="P43"/>
    </sheetView>
  </sheetViews>
  <sheetFormatPr defaultRowHeight="14.4" x14ac:dyDescent="0.3"/>
  <cols>
    <col min="1" max="1" width="23" bestFit="1" customWidth="1"/>
    <col min="2" max="2" width="20.77734375" customWidth="1"/>
    <col min="3" max="3" width="13.6640625" customWidth="1"/>
    <col min="4" max="4" width="17.88671875" customWidth="1"/>
    <col min="5" max="5" width="14.21875" customWidth="1"/>
    <col min="6" max="6" width="13.88671875" customWidth="1"/>
    <col min="7" max="7" width="12.6640625" customWidth="1"/>
    <col min="8" max="8" width="14.21875" customWidth="1"/>
    <col min="10" max="10" width="20.21875" customWidth="1"/>
    <col min="11" max="11" width="18.21875" customWidth="1"/>
    <col min="12" max="12" width="27" customWidth="1"/>
    <col min="13" max="13" width="21.77734375" customWidth="1"/>
    <col min="14" max="14" width="24.6640625" customWidth="1"/>
  </cols>
  <sheetData>
    <row r="1" spans="1:14" s="6" customFormat="1" ht="49.2" customHeight="1" x14ac:dyDescent="0.3">
      <c r="A1" s="5"/>
      <c r="B1" s="7"/>
      <c r="C1" s="7" t="s">
        <v>0</v>
      </c>
      <c r="D1" s="7"/>
      <c r="E1" s="5"/>
      <c r="F1" s="5"/>
      <c r="G1" s="5"/>
      <c r="H1" s="15"/>
      <c r="J1" s="8"/>
      <c r="K1" s="9" t="s">
        <v>156</v>
      </c>
      <c r="L1" s="9"/>
      <c r="M1" s="9"/>
      <c r="N1" s="10"/>
    </row>
    <row r="2" spans="1:14" ht="23.4" x14ac:dyDescent="0.45">
      <c r="A2" s="1" t="s">
        <v>1</v>
      </c>
      <c r="B2" s="1" t="s">
        <v>2</v>
      </c>
      <c r="C2" s="1" t="s">
        <v>3</v>
      </c>
      <c r="D2" s="1" t="s">
        <v>4</v>
      </c>
      <c r="E2" s="1" t="s">
        <v>5</v>
      </c>
      <c r="F2" s="1" t="s">
        <v>6</v>
      </c>
      <c r="G2" s="1" t="s">
        <v>7</v>
      </c>
      <c r="H2" s="1" t="s">
        <v>143</v>
      </c>
      <c r="J2" s="11" t="s">
        <v>151</v>
      </c>
      <c r="K2" s="11" t="s">
        <v>152</v>
      </c>
      <c r="L2" s="12" t="s">
        <v>153</v>
      </c>
      <c r="M2" s="12" t="s">
        <v>154</v>
      </c>
      <c r="N2" s="12" t="s">
        <v>155</v>
      </c>
    </row>
    <row r="3" spans="1:14" ht="21" x14ac:dyDescent="0.4">
      <c r="A3" s="16" t="s">
        <v>8</v>
      </c>
      <c r="B3" s="16" t="s">
        <v>9</v>
      </c>
      <c r="C3" s="16" t="s">
        <v>10</v>
      </c>
      <c r="D3" s="17">
        <v>45292</v>
      </c>
      <c r="E3" s="16">
        <v>13</v>
      </c>
      <c r="F3" s="16" t="s">
        <v>11</v>
      </c>
      <c r="G3" s="18">
        <v>0.78</v>
      </c>
      <c r="H3" s="16" t="str">
        <f>IF(G2=100%,"Completed",IF(G2&gt;0%,"In Progress","Not Started"))</f>
        <v>In Progress</v>
      </c>
      <c r="J3" s="13">
        <f>COUNTA(_xlfn.UNIQUE(A3:A48))</f>
        <v>15</v>
      </c>
      <c r="K3" s="13">
        <f>COUNTA(B3:B48)</f>
        <v>46</v>
      </c>
      <c r="L3" s="13">
        <f>COUNTIF(G3:G48,100%)</f>
        <v>9</v>
      </c>
      <c r="M3" s="13">
        <f>COUNTIF(G3:G48,"&lt;100%")</f>
        <v>37</v>
      </c>
      <c r="N3" s="14">
        <f>AVERAGE(G3:G48)</f>
        <v>0.36891304347826093</v>
      </c>
    </row>
    <row r="4" spans="1:14" x14ac:dyDescent="0.3">
      <c r="A4" s="16" t="s">
        <v>8</v>
      </c>
      <c r="B4" s="16" t="s">
        <v>12</v>
      </c>
      <c r="C4" s="16" t="s">
        <v>13</v>
      </c>
      <c r="D4" s="16" t="s">
        <v>11</v>
      </c>
      <c r="E4" s="16">
        <v>14</v>
      </c>
      <c r="F4" s="16" t="s">
        <v>14</v>
      </c>
      <c r="G4" s="18">
        <v>1</v>
      </c>
      <c r="H4" s="16" t="str">
        <f t="shared" ref="H4:H48" si="0">IF(G3=100%,"Completed",IF(G3&gt;0%,"In Progress","Not Started"))</f>
        <v>In Progress</v>
      </c>
    </row>
    <row r="5" spans="1:14" x14ac:dyDescent="0.3">
      <c r="A5" s="16" t="s">
        <v>8</v>
      </c>
      <c r="B5" s="16" t="s">
        <v>15</v>
      </c>
      <c r="C5" s="16" t="s">
        <v>16</v>
      </c>
      <c r="D5" s="16" t="s">
        <v>14</v>
      </c>
      <c r="E5" s="16">
        <v>22</v>
      </c>
      <c r="F5" s="16" t="s">
        <v>17</v>
      </c>
      <c r="G5" s="18">
        <v>0.45</v>
      </c>
      <c r="H5" s="16" t="str">
        <f t="shared" si="0"/>
        <v>Completed</v>
      </c>
    </row>
    <row r="6" spans="1:14" x14ac:dyDescent="0.3">
      <c r="A6" s="16" t="s">
        <v>8</v>
      </c>
      <c r="B6" s="16" t="s">
        <v>18</v>
      </c>
      <c r="C6" s="16" t="s">
        <v>19</v>
      </c>
      <c r="D6" s="16" t="s">
        <v>20</v>
      </c>
      <c r="E6" s="16">
        <v>25</v>
      </c>
      <c r="F6" s="16" t="s">
        <v>21</v>
      </c>
      <c r="G6" s="18">
        <v>0</v>
      </c>
      <c r="H6" s="16" t="str">
        <f t="shared" si="0"/>
        <v>In Progress</v>
      </c>
    </row>
    <row r="7" spans="1:14" x14ac:dyDescent="0.3">
      <c r="A7" s="16" t="s">
        <v>22</v>
      </c>
      <c r="B7" s="16" t="s">
        <v>23</v>
      </c>
      <c r="C7" s="16" t="s">
        <v>24</v>
      </c>
      <c r="D7" s="17">
        <v>45323</v>
      </c>
      <c r="E7" s="16">
        <v>18</v>
      </c>
      <c r="F7" s="16" t="s">
        <v>25</v>
      </c>
      <c r="G7" s="18">
        <v>1</v>
      </c>
      <c r="H7" s="16" t="str">
        <f t="shared" si="0"/>
        <v>Not Started</v>
      </c>
    </row>
    <row r="8" spans="1:14" x14ac:dyDescent="0.3">
      <c r="A8" s="16" t="s">
        <v>22</v>
      </c>
      <c r="B8" s="16" t="s">
        <v>26</v>
      </c>
      <c r="C8" s="16" t="s">
        <v>27</v>
      </c>
      <c r="D8" s="16" t="s">
        <v>25</v>
      </c>
      <c r="E8" s="16">
        <v>10</v>
      </c>
      <c r="F8" s="16" t="s">
        <v>28</v>
      </c>
      <c r="G8" s="18">
        <v>0.78</v>
      </c>
      <c r="H8" s="16" t="str">
        <f t="shared" si="0"/>
        <v>Completed</v>
      </c>
    </row>
    <row r="9" spans="1:14" x14ac:dyDescent="0.3">
      <c r="A9" s="16" t="s">
        <v>22</v>
      </c>
      <c r="B9" s="16" t="s">
        <v>29</v>
      </c>
      <c r="C9" s="16" t="s">
        <v>30</v>
      </c>
      <c r="D9" s="17">
        <v>45384</v>
      </c>
      <c r="E9" s="16">
        <v>25</v>
      </c>
      <c r="F9" s="16" t="s">
        <v>31</v>
      </c>
      <c r="G9" s="18">
        <v>0</v>
      </c>
      <c r="H9" s="16" t="str">
        <f t="shared" si="0"/>
        <v>In Progress</v>
      </c>
    </row>
    <row r="10" spans="1:14" x14ac:dyDescent="0.3">
      <c r="A10" s="16" t="s">
        <v>32</v>
      </c>
      <c r="B10" s="16" t="s">
        <v>33</v>
      </c>
      <c r="C10" s="16" t="s">
        <v>34</v>
      </c>
      <c r="D10" s="17">
        <v>45293</v>
      </c>
      <c r="E10" s="16">
        <v>22</v>
      </c>
      <c r="F10" s="16" t="s">
        <v>35</v>
      </c>
      <c r="G10" s="18">
        <v>1</v>
      </c>
      <c r="H10" s="16" t="str">
        <f t="shared" si="0"/>
        <v>Not Started</v>
      </c>
    </row>
    <row r="11" spans="1:14" x14ac:dyDescent="0.3">
      <c r="A11" s="16" t="s">
        <v>32</v>
      </c>
      <c r="B11" s="16" t="s">
        <v>36</v>
      </c>
      <c r="C11" s="16" t="s">
        <v>37</v>
      </c>
      <c r="D11" s="16" t="s">
        <v>38</v>
      </c>
      <c r="E11" s="16">
        <v>25</v>
      </c>
      <c r="F11" s="16" t="s">
        <v>39</v>
      </c>
      <c r="G11" s="18">
        <v>1</v>
      </c>
      <c r="H11" s="16" t="str">
        <f t="shared" si="0"/>
        <v>Completed</v>
      </c>
    </row>
    <row r="12" spans="1:14" x14ac:dyDescent="0.3">
      <c r="A12" s="16" t="s">
        <v>32</v>
      </c>
      <c r="B12" s="16" t="s">
        <v>40</v>
      </c>
      <c r="C12" s="16" t="s">
        <v>41</v>
      </c>
      <c r="D12" s="16" t="s">
        <v>42</v>
      </c>
      <c r="E12" s="16">
        <v>30</v>
      </c>
      <c r="F12" s="16" t="s">
        <v>43</v>
      </c>
      <c r="G12" s="18">
        <v>0</v>
      </c>
      <c r="H12" s="16" t="str">
        <f t="shared" si="0"/>
        <v>Completed</v>
      </c>
    </row>
    <row r="13" spans="1:14" x14ac:dyDescent="0.3">
      <c r="A13" s="16" t="s">
        <v>44</v>
      </c>
      <c r="B13" s="16" t="s">
        <v>45</v>
      </c>
      <c r="C13" s="16" t="s">
        <v>46</v>
      </c>
      <c r="D13" s="17">
        <v>45324</v>
      </c>
      <c r="E13" s="16">
        <v>22</v>
      </c>
      <c r="F13" s="16" t="s">
        <v>38</v>
      </c>
      <c r="G13" s="18">
        <v>0.1</v>
      </c>
      <c r="H13" s="16" t="str">
        <f t="shared" si="0"/>
        <v>Not Started</v>
      </c>
    </row>
    <row r="14" spans="1:14" x14ac:dyDescent="0.3">
      <c r="A14" s="16" t="s">
        <v>44</v>
      </c>
      <c r="B14" s="16" t="s">
        <v>47</v>
      </c>
      <c r="C14" s="16" t="s">
        <v>48</v>
      </c>
      <c r="D14" s="16" t="s">
        <v>49</v>
      </c>
      <c r="E14" s="16">
        <v>21</v>
      </c>
      <c r="F14" s="17">
        <v>45537</v>
      </c>
      <c r="G14" s="18">
        <v>0.78</v>
      </c>
      <c r="H14" s="16" t="str">
        <f t="shared" si="0"/>
        <v>In Progress</v>
      </c>
    </row>
    <row r="15" spans="1:14" x14ac:dyDescent="0.3">
      <c r="A15" s="16" t="s">
        <v>44</v>
      </c>
      <c r="B15" s="16" t="s">
        <v>50</v>
      </c>
      <c r="C15" s="16" t="s">
        <v>48</v>
      </c>
      <c r="D15" s="16" t="s">
        <v>51</v>
      </c>
      <c r="E15" s="16">
        <v>25</v>
      </c>
      <c r="F15" s="16" t="s">
        <v>52</v>
      </c>
      <c r="G15" s="18">
        <v>1</v>
      </c>
      <c r="H15" s="16" t="str">
        <f t="shared" si="0"/>
        <v>In Progress</v>
      </c>
    </row>
    <row r="16" spans="1:14" x14ac:dyDescent="0.3">
      <c r="A16" s="16" t="s">
        <v>53</v>
      </c>
      <c r="B16" s="16" t="s">
        <v>54</v>
      </c>
      <c r="C16" s="16" t="s">
        <v>55</v>
      </c>
      <c r="D16" s="17">
        <v>45323</v>
      </c>
      <c r="E16" s="16">
        <v>23</v>
      </c>
      <c r="F16" s="16" t="s">
        <v>56</v>
      </c>
      <c r="G16" s="18">
        <v>0.5</v>
      </c>
      <c r="H16" s="16" t="str">
        <f t="shared" si="0"/>
        <v>Completed</v>
      </c>
    </row>
    <row r="17" spans="1:8" x14ac:dyDescent="0.3">
      <c r="A17" s="16" t="s">
        <v>53</v>
      </c>
      <c r="B17" s="16" t="s">
        <v>57</v>
      </c>
      <c r="C17" s="16" t="s">
        <v>58</v>
      </c>
      <c r="D17" s="16" t="s">
        <v>59</v>
      </c>
      <c r="E17" s="16">
        <v>32</v>
      </c>
      <c r="F17" s="16" t="s">
        <v>60</v>
      </c>
      <c r="G17" s="18">
        <v>0</v>
      </c>
      <c r="H17" s="16" t="str">
        <f t="shared" si="0"/>
        <v>In Progress</v>
      </c>
    </row>
    <row r="18" spans="1:8" x14ac:dyDescent="0.3">
      <c r="A18" s="16" t="s">
        <v>53</v>
      </c>
      <c r="B18" s="16" t="s">
        <v>61</v>
      </c>
      <c r="C18" s="16" t="s">
        <v>62</v>
      </c>
      <c r="D18" s="16" t="s">
        <v>63</v>
      </c>
      <c r="E18" s="16">
        <v>27</v>
      </c>
      <c r="F18" s="16" t="s">
        <v>64</v>
      </c>
      <c r="G18" s="18">
        <v>0</v>
      </c>
      <c r="H18" s="16" t="str">
        <f t="shared" si="0"/>
        <v>Not Started</v>
      </c>
    </row>
    <row r="19" spans="1:8" x14ac:dyDescent="0.3">
      <c r="A19" s="16" t="s">
        <v>65</v>
      </c>
      <c r="B19" s="16" t="s">
        <v>66</v>
      </c>
      <c r="C19" s="16" t="s">
        <v>67</v>
      </c>
      <c r="D19" s="17">
        <v>45323</v>
      </c>
      <c r="E19" s="16">
        <v>36</v>
      </c>
      <c r="F19" s="17">
        <v>45475</v>
      </c>
      <c r="G19" s="18">
        <v>1</v>
      </c>
      <c r="H19" s="16" t="str">
        <f t="shared" si="0"/>
        <v>Not Started</v>
      </c>
    </row>
    <row r="20" spans="1:8" x14ac:dyDescent="0.3">
      <c r="A20" s="16" t="s">
        <v>65</v>
      </c>
      <c r="B20" s="16" t="s">
        <v>68</v>
      </c>
      <c r="C20" s="16" t="s">
        <v>69</v>
      </c>
      <c r="D20" s="17">
        <v>45506</v>
      </c>
      <c r="E20" s="16">
        <v>34</v>
      </c>
      <c r="F20" s="16" t="s">
        <v>70</v>
      </c>
      <c r="G20" s="18">
        <v>0</v>
      </c>
      <c r="H20" s="16" t="str">
        <f t="shared" si="0"/>
        <v>Completed</v>
      </c>
    </row>
    <row r="21" spans="1:8" x14ac:dyDescent="0.3">
      <c r="A21" s="16" t="s">
        <v>65</v>
      </c>
      <c r="B21" s="16" t="s">
        <v>71</v>
      </c>
      <c r="C21" s="16" t="s">
        <v>72</v>
      </c>
      <c r="D21" s="16" t="s">
        <v>21</v>
      </c>
      <c r="E21" s="16">
        <v>30</v>
      </c>
      <c r="F21" s="16" t="s">
        <v>52</v>
      </c>
      <c r="G21" s="18">
        <v>0</v>
      </c>
      <c r="H21" s="16" t="str">
        <f t="shared" si="0"/>
        <v>Not Started</v>
      </c>
    </row>
    <row r="22" spans="1:8" x14ac:dyDescent="0.3">
      <c r="A22" s="16" t="s">
        <v>73</v>
      </c>
      <c r="B22" s="16" t="s">
        <v>74</v>
      </c>
      <c r="C22" s="16" t="s">
        <v>75</v>
      </c>
      <c r="D22" s="17">
        <v>45352</v>
      </c>
      <c r="E22" s="16">
        <v>47</v>
      </c>
      <c r="F22" s="16" t="s">
        <v>17</v>
      </c>
      <c r="G22" s="18">
        <v>0.3</v>
      </c>
      <c r="H22" s="16" t="str">
        <f t="shared" si="0"/>
        <v>Not Started</v>
      </c>
    </row>
    <row r="23" spans="1:8" x14ac:dyDescent="0.3">
      <c r="A23" s="16" t="s">
        <v>73</v>
      </c>
      <c r="B23" s="16" t="s">
        <v>76</v>
      </c>
      <c r="C23" s="16" t="s">
        <v>77</v>
      </c>
      <c r="D23" s="16" t="s">
        <v>78</v>
      </c>
      <c r="E23" s="16">
        <v>27</v>
      </c>
      <c r="F23" s="16" t="s">
        <v>79</v>
      </c>
      <c r="G23" s="18">
        <v>0</v>
      </c>
      <c r="H23" s="16" t="str">
        <f t="shared" si="0"/>
        <v>In Progress</v>
      </c>
    </row>
    <row r="24" spans="1:8" x14ac:dyDescent="0.3">
      <c r="A24" s="16" t="s">
        <v>73</v>
      </c>
      <c r="B24" s="16" t="s">
        <v>80</v>
      </c>
      <c r="C24" s="16" t="s">
        <v>81</v>
      </c>
      <c r="D24" s="16" t="s">
        <v>21</v>
      </c>
      <c r="E24" s="16">
        <v>22</v>
      </c>
      <c r="F24" s="17">
        <v>45416</v>
      </c>
      <c r="G24" s="18">
        <v>0</v>
      </c>
      <c r="H24" s="16" t="str">
        <f t="shared" si="0"/>
        <v>Not Started</v>
      </c>
    </row>
    <row r="25" spans="1:8" x14ac:dyDescent="0.3">
      <c r="A25" s="16" t="s">
        <v>82</v>
      </c>
      <c r="B25" s="16" t="s">
        <v>83</v>
      </c>
      <c r="C25" s="16" t="s">
        <v>84</v>
      </c>
      <c r="D25" s="17">
        <v>45352</v>
      </c>
      <c r="E25" s="16">
        <v>60</v>
      </c>
      <c r="F25" s="17">
        <v>45354</v>
      </c>
      <c r="G25" s="18">
        <v>0.7</v>
      </c>
      <c r="H25" s="16" t="str">
        <f t="shared" si="0"/>
        <v>Not Started</v>
      </c>
    </row>
    <row r="26" spans="1:8" x14ac:dyDescent="0.3">
      <c r="A26" s="16" t="s">
        <v>82</v>
      </c>
      <c r="B26" s="16" t="s">
        <v>85</v>
      </c>
      <c r="C26" s="16" t="s">
        <v>86</v>
      </c>
      <c r="D26" s="17">
        <v>45444</v>
      </c>
      <c r="E26" s="16">
        <v>20</v>
      </c>
      <c r="F26" s="16" t="s">
        <v>59</v>
      </c>
      <c r="G26" s="18">
        <v>0.78</v>
      </c>
      <c r="H26" s="16" t="str">
        <f t="shared" si="0"/>
        <v>In Progress</v>
      </c>
    </row>
    <row r="27" spans="1:8" x14ac:dyDescent="0.3">
      <c r="A27" s="16" t="s">
        <v>82</v>
      </c>
      <c r="B27" s="16" t="s">
        <v>87</v>
      </c>
      <c r="C27" s="16" t="s">
        <v>88</v>
      </c>
      <c r="D27" s="17">
        <v>45353</v>
      </c>
      <c r="E27" s="16">
        <v>35</v>
      </c>
      <c r="F27" s="17">
        <v>45538</v>
      </c>
      <c r="G27" s="18">
        <v>0</v>
      </c>
      <c r="H27" s="16" t="str">
        <f t="shared" si="0"/>
        <v>In Progress</v>
      </c>
    </row>
    <row r="28" spans="1:8" x14ac:dyDescent="0.3">
      <c r="A28" s="16" t="s">
        <v>89</v>
      </c>
      <c r="B28" s="16" t="s">
        <v>90</v>
      </c>
      <c r="C28" s="16" t="s">
        <v>91</v>
      </c>
      <c r="D28" s="17">
        <v>45292</v>
      </c>
      <c r="E28" s="16">
        <v>25</v>
      </c>
      <c r="F28" s="16" t="s">
        <v>59</v>
      </c>
      <c r="G28" s="18">
        <v>1</v>
      </c>
      <c r="H28" s="16" t="str">
        <f t="shared" si="0"/>
        <v>Not Started</v>
      </c>
    </row>
    <row r="29" spans="1:8" x14ac:dyDescent="0.3">
      <c r="A29" s="16" t="s">
        <v>89</v>
      </c>
      <c r="B29" s="16" t="s">
        <v>92</v>
      </c>
      <c r="C29" s="16" t="s">
        <v>93</v>
      </c>
      <c r="D29" s="16" t="s">
        <v>94</v>
      </c>
      <c r="E29" s="16">
        <v>31</v>
      </c>
      <c r="F29" s="16" t="s">
        <v>60</v>
      </c>
      <c r="G29" s="18">
        <v>1</v>
      </c>
      <c r="H29" s="16" t="str">
        <f t="shared" si="0"/>
        <v>Completed</v>
      </c>
    </row>
    <row r="30" spans="1:8" x14ac:dyDescent="0.3">
      <c r="A30" s="16" t="s">
        <v>89</v>
      </c>
      <c r="B30" s="16" t="s">
        <v>95</v>
      </c>
      <c r="C30" s="16" t="s">
        <v>96</v>
      </c>
      <c r="D30" s="17">
        <v>45325</v>
      </c>
      <c r="E30" s="16">
        <v>22</v>
      </c>
      <c r="F30" s="16" t="s">
        <v>97</v>
      </c>
      <c r="G30" s="18">
        <v>0</v>
      </c>
      <c r="H30" s="16" t="str">
        <f t="shared" si="0"/>
        <v>Completed</v>
      </c>
    </row>
    <row r="31" spans="1:8" x14ac:dyDescent="0.3">
      <c r="A31" s="16" t="s">
        <v>98</v>
      </c>
      <c r="B31" s="16" t="s">
        <v>99</v>
      </c>
      <c r="C31" s="16" t="s">
        <v>100</v>
      </c>
      <c r="D31" s="17">
        <v>45352</v>
      </c>
      <c r="E31" s="16">
        <v>30</v>
      </c>
      <c r="F31" s="17">
        <v>45324</v>
      </c>
      <c r="G31" s="18">
        <v>0.4</v>
      </c>
      <c r="H31" s="16" t="str">
        <f t="shared" si="0"/>
        <v>Not Started</v>
      </c>
    </row>
    <row r="32" spans="1:8" x14ac:dyDescent="0.3">
      <c r="A32" s="16" t="s">
        <v>98</v>
      </c>
      <c r="B32" s="16" t="s">
        <v>101</v>
      </c>
      <c r="C32" s="16" t="s">
        <v>102</v>
      </c>
      <c r="D32" s="17">
        <v>45353</v>
      </c>
      <c r="E32" s="16">
        <v>25</v>
      </c>
      <c r="F32" s="16" t="s">
        <v>63</v>
      </c>
      <c r="G32" s="18">
        <v>0</v>
      </c>
      <c r="H32" s="16" t="str">
        <f t="shared" si="0"/>
        <v>In Progress</v>
      </c>
    </row>
    <row r="33" spans="1:8" x14ac:dyDescent="0.3">
      <c r="A33" s="16" t="s">
        <v>98</v>
      </c>
      <c r="B33" s="16" t="s">
        <v>103</v>
      </c>
      <c r="C33" s="16" t="s">
        <v>104</v>
      </c>
      <c r="D33" s="16" t="s">
        <v>31</v>
      </c>
      <c r="E33" s="16">
        <v>20</v>
      </c>
      <c r="F33" s="16" t="s">
        <v>39</v>
      </c>
      <c r="G33" s="18">
        <v>0</v>
      </c>
      <c r="H33" s="16" t="str">
        <f t="shared" si="0"/>
        <v>Not Started</v>
      </c>
    </row>
    <row r="34" spans="1:8" x14ac:dyDescent="0.3">
      <c r="A34" s="16" t="s">
        <v>105</v>
      </c>
      <c r="B34" s="16" t="s">
        <v>106</v>
      </c>
      <c r="C34" s="16" t="s">
        <v>27</v>
      </c>
      <c r="D34" s="17">
        <v>45323</v>
      </c>
      <c r="E34" s="16">
        <v>35</v>
      </c>
      <c r="F34" s="17">
        <v>45445</v>
      </c>
      <c r="G34" s="18">
        <v>0.6</v>
      </c>
      <c r="H34" s="16" t="str">
        <f t="shared" si="0"/>
        <v>Not Started</v>
      </c>
    </row>
    <row r="35" spans="1:8" x14ac:dyDescent="0.3">
      <c r="A35" s="16" t="s">
        <v>105</v>
      </c>
      <c r="B35" s="16" t="s">
        <v>107</v>
      </c>
      <c r="C35" s="16" t="s">
        <v>108</v>
      </c>
      <c r="D35" s="17">
        <v>45324</v>
      </c>
      <c r="E35" s="16">
        <v>32</v>
      </c>
      <c r="F35" s="17">
        <v>45415</v>
      </c>
      <c r="G35" s="18">
        <v>0</v>
      </c>
      <c r="H35" s="16" t="str">
        <f t="shared" si="0"/>
        <v>In Progress</v>
      </c>
    </row>
    <row r="36" spans="1:8" x14ac:dyDescent="0.3">
      <c r="A36" s="16" t="s">
        <v>105</v>
      </c>
      <c r="B36" s="16" t="s">
        <v>109</v>
      </c>
      <c r="C36" s="16" t="s">
        <v>110</v>
      </c>
      <c r="D36" s="17">
        <v>45446</v>
      </c>
      <c r="E36" s="16">
        <v>25</v>
      </c>
      <c r="F36" s="16" t="s">
        <v>111</v>
      </c>
      <c r="G36" s="18">
        <v>0</v>
      </c>
      <c r="H36" s="16" t="str">
        <f t="shared" si="0"/>
        <v>Not Started</v>
      </c>
    </row>
    <row r="37" spans="1:8" x14ac:dyDescent="0.3">
      <c r="A37" s="16" t="s">
        <v>112</v>
      </c>
      <c r="B37" s="16" t="s">
        <v>113</v>
      </c>
      <c r="C37" s="16" t="s">
        <v>114</v>
      </c>
      <c r="D37" s="17">
        <v>45383</v>
      </c>
      <c r="E37" s="16">
        <v>27</v>
      </c>
      <c r="F37" s="16" t="s">
        <v>115</v>
      </c>
      <c r="G37" s="18">
        <v>0.8</v>
      </c>
      <c r="H37" s="16" t="str">
        <f t="shared" si="0"/>
        <v>Not Started</v>
      </c>
    </row>
    <row r="38" spans="1:8" x14ac:dyDescent="0.3">
      <c r="A38" s="16" t="s">
        <v>112</v>
      </c>
      <c r="B38" s="16" t="s">
        <v>116</v>
      </c>
      <c r="C38" s="16" t="s">
        <v>117</v>
      </c>
      <c r="D38" s="16" t="s">
        <v>14</v>
      </c>
      <c r="E38" s="16">
        <v>30</v>
      </c>
      <c r="F38" s="16" t="s">
        <v>60</v>
      </c>
      <c r="G38" s="18">
        <v>0</v>
      </c>
      <c r="H38" s="16" t="str">
        <f t="shared" si="0"/>
        <v>In Progress</v>
      </c>
    </row>
    <row r="39" spans="1:8" x14ac:dyDescent="0.3">
      <c r="A39" s="16" t="s">
        <v>112</v>
      </c>
      <c r="B39" s="16" t="s">
        <v>118</v>
      </c>
      <c r="C39" s="16" t="s">
        <v>119</v>
      </c>
      <c r="D39" s="16" t="s">
        <v>63</v>
      </c>
      <c r="E39" s="16">
        <v>22</v>
      </c>
      <c r="F39" s="16" t="s">
        <v>42</v>
      </c>
      <c r="G39" s="18">
        <v>0</v>
      </c>
      <c r="H39" s="16" t="str">
        <f t="shared" si="0"/>
        <v>Not Started</v>
      </c>
    </row>
    <row r="40" spans="1:8" x14ac:dyDescent="0.3">
      <c r="A40" s="16" t="s">
        <v>120</v>
      </c>
      <c r="B40" s="16" t="s">
        <v>121</v>
      </c>
      <c r="C40" s="16" t="s">
        <v>122</v>
      </c>
      <c r="D40" s="17">
        <v>45352</v>
      </c>
      <c r="E40" s="16">
        <v>25</v>
      </c>
      <c r="F40" s="16" t="s">
        <v>14</v>
      </c>
      <c r="G40" s="18">
        <v>0.3</v>
      </c>
      <c r="H40" s="16" t="str">
        <f t="shared" si="0"/>
        <v>Not Started</v>
      </c>
    </row>
    <row r="41" spans="1:8" x14ac:dyDescent="0.3">
      <c r="A41" s="16" t="s">
        <v>120</v>
      </c>
      <c r="B41" s="16" t="s">
        <v>123</v>
      </c>
      <c r="C41" s="16" t="s">
        <v>124</v>
      </c>
      <c r="D41" s="17">
        <v>45353</v>
      </c>
      <c r="E41" s="16">
        <v>20</v>
      </c>
      <c r="F41" s="16" t="s">
        <v>35</v>
      </c>
      <c r="G41" s="18">
        <v>0</v>
      </c>
      <c r="H41" s="16" t="str">
        <f t="shared" si="0"/>
        <v>In Progress</v>
      </c>
    </row>
    <row r="42" spans="1:8" x14ac:dyDescent="0.3">
      <c r="A42" s="16" t="s">
        <v>120</v>
      </c>
      <c r="B42" s="16" t="s">
        <v>125</v>
      </c>
      <c r="C42" s="16" t="s">
        <v>126</v>
      </c>
      <c r="D42" s="16" t="s">
        <v>38</v>
      </c>
      <c r="E42" s="16">
        <v>35</v>
      </c>
      <c r="F42" s="16" t="s">
        <v>127</v>
      </c>
      <c r="G42" s="18">
        <v>0</v>
      </c>
      <c r="H42" s="16" t="str">
        <f t="shared" si="0"/>
        <v>Not Started</v>
      </c>
    </row>
    <row r="43" spans="1:8" x14ac:dyDescent="0.3">
      <c r="A43" s="16" t="s">
        <v>128</v>
      </c>
      <c r="B43" s="16" t="s">
        <v>129</v>
      </c>
      <c r="C43" s="16" t="s">
        <v>130</v>
      </c>
      <c r="D43" s="17">
        <v>45352</v>
      </c>
      <c r="E43" s="16">
        <v>25</v>
      </c>
      <c r="F43" s="16" t="s">
        <v>14</v>
      </c>
      <c r="G43" s="18">
        <v>0.5</v>
      </c>
      <c r="H43" s="16" t="str">
        <f t="shared" si="0"/>
        <v>Not Started</v>
      </c>
    </row>
    <row r="44" spans="1:8" x14ac:dyDescent="0.3">
      <c r="A44" s="16" t="s">
        <v>128</v>
      </c>
      <c r="B44" s="16" t="s">
        <v>131</v>
      </c>
      <c r="C44" s="16" t="s">
        <v>132</v>
      </c>
      <c r="D44" s="16" t="s">
        <v>133</v>
      </c>
      <c r="E44" s="16">
        <v>30</v>
      </c>
      <c r="F44" s="16" t="s">
        <v>63</v>
      </c>
      <c r="G44" s="18">
        <v>1</v>
      </c>
      <c r="H44" s="16" t="str">
        <f t="shared" si="0"/>
        <v>In Progress</v>
      </c>
    </row>
    <row r="45" spans="1:8" x14ac:dyDescent="0.3">
      <c r="A45" s="16" t="s">
        <v>128</v>
      </c>
      <c r="B45" s="16" t="s">
        <v>134</v>
      </c>
      <c r="C45" s="16" t="s">
        <v>135</v>
      </c>
      <c r="D45" s="16" t="s">
        <v>136</v>
      </c>
      <c r="E45" s="16">
        <v>20</v>
      </c>
      <c r="F45" s="16" t="s">
        <v>137</v>
      </c>
      <c r="G45" s="18">
        <v>0</v>
      </c>
      <c r="H45" s="16" t="str">
        <f t="shared" si="0"/>
        <v>Completed</v>
      </c>
    </row>
    <row r="46" spans="1:8" x14ac:dyDescent="0.3">
      <c r="A46" s="16" t="s">
        <v>138</v>
      </c>
      <c r="B46" s="16" t="s">
        <v>139</v>
      </c>
      <c r="C46" s="16" t="s">
        <v>69</v>
      </c>
      <c r="D46" s="17">
        <v>45323</v>
      </c>
      <c r="E46" s="16">
        <v>25</v>
      </c>
      <c r="F46" s="16" t="s">
        <v>94</v>
      </c>
      <c r="G46" s="18">
        <v>0.2</v>
      </c>
      <c r="H46" s="16" t="str">
        <f t="shared" si="0"/>
        <v>Not Started</v>
      </c>
    </row>
    <row r="47" spans="1:8" x14ac:dyDescent="0.3">
      <c r="A47" s="16" t="s">
        <v>138</v>
      </c>
      <c r="B47" s="16" t="s">
        <v>140</v>
      </c>
      <c r="C47" s="16" t="s">
        <v>72</v>
      </c>
      <c r="D47" s="17">
        <v>45324</v>
      </c>
      <c r="E47" s="16">
        <v>22</v>
      </c>
      <c r="F47" s="16" t="s">
        <v>38</v>
      </c>
      <c r="G47" s="18">
        <v>0</v>
      </c>
      <c r="H47" s="16" t="str">
        <f t="shared" si="0"/>
        <v>In Progress</v>
      </c>
    </row>
    <row r="48" spans="1:8" x14ac:dyDescent="0.3">
      <c r="A48" s="16" t="s">
        <v>138</v>
      </c>
      <c r="B48" s="16" t="s">
        <v>141</v>
      </c>
      <c r="C48" s="16" t="s">
        <v>142</v>
      </c>
      <c r="D48" s="16" t="s">
        <v>35</v>
      </c>
      <c r="E48" s="16">
        <v>27</v>
      </c>
      <c r="F48" s="16" t="s">
        <v>42</v>
      </c>
      <c r="G48" s="18">
        <v>0</v>
      </c>
      <c r="H48" s="16" t="str">
        <f t="shared" si="0"/>
        <v>Not Started</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Sheet6</vt:lpstr>
      <vt:lpstr>Sheet7</vt:lpstr>
      <vt:lpstr>Sheet8</vt:lpstr>
      <vt:lpstr>lakshay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Lakshay</dc:creator>
  <cp:lastModifiedBy>lakshaysagar02@gmail.com</cp:lastModifiedBy>
  <cp:lastPrinted>2026-09-24T16:19:51Z</cp:lastPrinted>
  <dcterms:created xsi:type="dcterms:W3CDTF">2026-09-23T15:50:04Z</dcterms:created>
  <dcterms:modified xsi:type="dcterms:W3CDTF">2026-09-25T17:10:13Z</dcterms:modified>
</cp:coreProperties>
</file>